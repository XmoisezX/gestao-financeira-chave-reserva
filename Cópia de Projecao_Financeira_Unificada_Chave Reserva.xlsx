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sumo Executivo" sheetId="2" r:id="rId6"/>
    <sheet state="visible" name="Projeção Mensal" sheetId="3" r:id="rId7"/>
    <sheet state="visible" name="Planos" sheetId="4" r:id="rId8"/>
    <sheet state="visible" name="Aluguel" sheetId="5" r:id="rId9"/>
    <sheet state="visible" name="Pacotes adicionais" sheetId="6" r:id="rId10"/>
    <sheet state="visible" name="Equipe e Remuneração" sheetId="7" r:id="rId11"/>
    <sheet state="visible" name="Infraestrutura" sheetId="8" r:id="rId12"/>
    <sheet state="visible" name="Aquisição" sheetId="9" r:id="rId13"/>
    <sheet state="visible" name="Premissas" sheetId="10" r:id="rId14"/>
    <sheet state="visible" name="Taxas de pagamento" sheetId="11" r:id="rId15"/>
  </sheets>
  <definedNames/>
  <calcPr/>
</workbook>
</file>

<file path=xl/sharedStrings.xml><?xml version="1.0" encoding="utf-8"?>
<sst xmlns="http://schemas.openxmlformats.org/spreadsheetml/2006/main" count="204" uniqueCount="159">
  <si>
    <t>PROJEÇÃO FINANCEIRA UNIFICADA — CRM</t>
  </si>
  <si>
    <t>Plano</t>
  </si>
  <si>
    <t>Mês</t>
  </si>
  <si>
    <t>Indicador</t>
  </si>
  <si>
    <t>Mensal</t>
  </si>
  <si>
    <t>Anual equivalente mensal</t>
  </si>
  <si>
    <t>Valor</t>
  </si>
  <si>
    <t>Anual à vista</t>
  </si>
  <si>
    <t>Observação</t>
  </si>
  <si>
    <t>Previsão de vendas %</t>
  </si>
  <si>
    <t>Clientes ativos</t>
  </si>
  <si>
    <t>Clientes ativos finais</t>
  </si>
  <si>
    <t>Churn</t>
  </si>
  <si>
    <t>Novos líquidos meta</t>
  </si>
  <si>
    <t>Grátis</t>
  </si>
  <si>
    <t>Novos brutos necessários</t>
  </si>
  <si>
    <t>Meta dez/2027</t>
  </si>
  <si>
    <t>MRR meta</t>
  </si>
  <si>
    <t>MRR final</t>
  </si>
  <si>
    <t>MRR Aluguel</t>
  </si>
  <si>
    <t>Meta financeira do PDF</t>
  </si>
  <si>
    <t>Clientes brutos necessários</t>
  </si>
  <si>
    <t>Com churn base de 3%</t>
  </si>
  <si>
    <t>Pró-labore desenvolvimento</t>
  </si>
  <si>
    <t>A partir de 30 clientes</t>
  </si>
  <si>
    <t>MRR Pacotes</t>
  </si>
  <si>
    <t>Resultado dez/2027 antes impostos</t>
  </si>
  <si>
    <t>MRR Total</t>
  </si>
  <si>
    <t>Corretor Pro</t>
  </si>
  <si>
    <t>Cenário-base</t>
  </si>
  <si>
    <t>Receita empresa após regra 1ª/2ª</t>
  </si>
  <si>
    <t>Resultado dez/2027 após reserva 8%</t>
  </si>
  <si>
    <t>Reserva gerencial</t>
  </si>
  <si>
    <t>Comissão vendas</t>
  </si>
  <si>
    <t>Comissão suporte</t>
  </si>
  <si>
    <t>IMPORTANTE</t>
  </si>
  <si>
    <t>Imobiliária Basic</t>
  </si>
  <si>
    <t>Novos via tráfego</t>
  </si>
  <si>
    <t>CAC, churn, conversão de listas, mix de planos e reserva fiscal são premissas de planejamento e devem ser substituídos por dados reais conforme houver histórico.</t>
  </si>
  <si>
    <t>CAC tráfego</t>
  </si>
  <si>
    <t>Investimento tráfego</t>
  </si>
  <si>
    <t>Imobiliária Pro</t>
  </si>
  <si>
    <t>Novos via lista</t>
  </si>
  <si>
    <t>Contatos frios</t>
  </si>
  <si>
    <t>Custo lista fria</t>
  </si>
  <si>
    <t>Imobiliária Master</t>
  </si>
  <si>
    <t>Novos via influencer</t>
  </si>
  <si>
    <t>Custo 1ª parcela influencer</t>
  </si>
  <si>
    <t>Custo recorrente influencer</t>
  </si>
  <si>
    <t>Pró-labore gestor comercial</t>
  </si>
  <si>
    <t>Pró-labore marketing</t>
  </si>
  <si>
    <t>Pró-labore financeiro</t>
  </si>
  <si>
    <t>Suporte fixo</t>
  </si>
  <si>
    <t>Apoio técnico</t>
  </si>
  <si>
    <t>SDR</t>
  </si>
  <si>
    <t>Marketing/criação</t>
  </si>
  <si>
    <t>Bônus metas</t>
  </si>
  <si>
    <t>Infraestrutura</t>
  </si>
  <si>
    <t>Impostos 8%</t>
  </si>
  <si>
    <t>Resultado Bruto</t>
  </si>
  <si>
    <t>Resultado Líquido</t>
  </si>
  <si>
    <t>Receita Caixa</t>
  </si>
  <si>
    <t>Impostos Caixa 8%</t>
  </si>
  <si>
    <t>Resultado Caixa</t>
  </si>
  <si>
    <t>Saldo de Caixa Acumulado</t>
  </si>
  <si>
    <t>Taxas de Pagamento</t>
  </si>
  <si>
    <t>Sep/2026</t>
  </si>
  <si>
    <t>Vendido para a base de clientes</t>
  </si>
  <si>
    <t>Previsão de lançamento</t>
  </si>
  <si>
    <t>Módulo de Alugueis</t>
  </si>
  <si>
    <t>Sim</t>
  </si>
  <si>
    <t>Pacotes adicionais</t>
  </si>
  <si>
    <t>Quantidade adicional</t>
  </si>
  <si>
    <t>Usuários adicionais</t>
  </si>
  <si>
    <t xml:space="preserve">Imóveis adicionais </t>
  </si>
  <si>
    <t>Email profissional</t>
  </si>
  <si>
    <t>Assinatura Digital</t>
  </si>
  <si>
    <t>Área</t>
  </si>
  <si>
    <t>Modelo</t>
  </si>
  <si>
    <t>Remuneração</t>
  </si>
  <si>
    <t>Gatilho</t>
  </si>
  <si>
    <t>Vendas</t>
  </si>
  <si>
    <t>Parceiros/comissionados</t>
  </si>
  <si>
    <t>Gestor comercial</t>
  </si>
  <si>
    <t>Sócio</t>
  </si>
  <si>
    <t>Suporte</t>
  </si>
  <si>
    <t>Parceiros inicialmente; depois fixo</t>
  </si>
  <si>
    <t>Marketing/Growth</t>
  </si>
  <si>
    <t>Desenvolvimento</t>
  </si>
  <si>
    <t>Administrativo/financeiro</t>
  </si>
  <si>
    <t>Freelancer/CLT</t>
  </si>
  <si>
    <t>CLT/contrato</t>
  </si>
  <si>
    <t>Faixa</t>
  </si>
  <si>
    <t>Item</t>
  </si>
  <si>
    <t>Até 29</t>
  </si>
  <si>
    <t>Contabilidade</t>
  </si>
  <si>
    <t>Vercel</t>
  </si>
  <si>
    <t>Neon</t>
  </si>
  <si>
    <t>Domínio</t>
  </si>
  <si>
    <t>Hostinger</t>
  </si>
  <si>
    <t>TOTAL</t>
  </si>
  <si>
    <t>30–150</t>
  </si>
  <si>
    <t>Resend</t>
  </si>
  <si>
    <t>Upstash</t>
  </si>
  <si>
    <t>Pusher</t>
  </si>
  <si>
    <t>151–250</t>
  </si>
  <si>
    <t>Reserva de escala</t>
  </si>
  <si>
    <t>251–345</t>
  </si>
  <si>
    <t>Canal</t>
  </si>
  <si>
    <t>Participação</t>
  </si>
  <si>
    <t>Regra</t>
  </si>
  <si>
    <t>Tráfego pago</t>
  </si>
  <si>
    <t>60%</t>
  </si>
  <si>
    <t>CAC variável; premissa inicial R$250→R$160</t>
  </si>
  <si>
    <t>Listas frias</t>
  </si>
  <si>
    <t>25%</t>
  </si>
  <si>
    <t>R$0,50/contato; conversão assumida 2%</t>
  </si>
  <si>
    <t>Microinfluenciadores</t>
  </si>
  <si>
    <t>15%</t>
  </si>
  <si>
    <t>1ª parcela + 10% recorrência; 30% OFF 1º mês</t>
  </si>
  <si>
    <t>Premissa</t>
  </si>
  <si>
    <t>Churn mensal</t>
  </si>
  <si>
    <t>Ticket usado na meta</t>
  </si>
  <si>
    <t>Clientes anuais</t>
  </si>
  <si>
    <t>Clientes mensais</t>
  </si>
  <si>
    <t>Lista fria R$/contato</t>
  </si>
  <si>
    <t>Conversão lista fria</t>
  </si>
  <si>
    <t>Influencer % recorrência</t>
  </si>
  <si>
    <t>Influencer desconto 1º mês</t>
  </si>
  <si>
    <t>Impostos</t>
  </si>
  <si>
    <t>Comissão influencer (1º parcela)</t>
  </si>
  <si>
    <t>Método de Pagamento</t>
  </si>
  <si>
    <t>Taxa Fixa (R$)</t>
  </si>
  <si>
    <t>Taxa Variável (%)</t>
  </si>
  <si>
    <t>Uso Estimado (%)</t>
  </si>
  <si>
    <t>Pix</t>
  </si>
  <si>
    <t>Oct/2026</t>
  </si>
  <si>
    <t>Boleto</t>
  </si>
  <si>
    <t>Cartão de Crédito (à vista)</t>
  </si>
  <si>
    <t>Cartão de Crédito (parcelado)</t>
  </si>
  <si>
    <t>Resumo</t>
  </si>
  <si>
    <t>Uso Total</t>
  </si>
  <si>
    <t>Taxa Fixa Média Ponderada</t>
  </si>
  <si>
    <t>Taxa Variável Média Ponderada</t>
  </si>
  <si>
    <t>Nov/2026</t>
  </si>
  <si>
    <t>Dec/2026</t>
  </si>
  <si>
    <t>Jan/2027</t>
  </si>
  <si>
    <t>Feb/2027</t>
  </si>
  <si>
    <t>Mar/2027</t>
  </si>
  <si>
    <t>Apr/2027</t>
  </si>
  <si>
    <t>May/2027</t>
  </si>
  <si>
    <t>Jun/2027</t>
  </si>
  <si>
    <t>Jul/2027</t>
  </si>
  <si>
    <t>Dashboard de Projeção Financeira</t>
  </si>
  <si>
    <t>Aug/2027</t>
  </si>
  <si>
    <t>Sep/2027</t>
  </si>
  <si>
    <t>Oct/2027</t>
  </si>
  <si>
    <t>Nov/2027</t>
  </si>
  <si>
    <t>Dec/2027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</si>
</sst>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([$R$ -416]* #,##0.00_);_([$R$ -416]* \(#,##0.00\);_([$R$ -416]* &quot;-&quot;??_);_(@_)"/>
    <numFmt numFmtId="165" formatCode="R$ #,##0.00"/>
    <numFmt numFmtId="166" formatCode="dd/mm/yyyy"/>
    <numFmt numFmtId="167" formatCode="[$R$ -416]#,##0.00"/>
    <numFmt numFmtId="168" formatCode="&quot;R$&quot; #,##0.00"/>
    <numFmt numFmtId="169" formatCode="0% &quot;da 1ª mensalidade equivalente + variável por metas&quot;"/>
    <numFmt numFmtId="170" formatCode="&quot;Desde o início&quot;"/>
    <numFmt numFmtId="171" formatCode="&quot;Pró-labore de &quot;R$ #,##0&quot; + variável&quot;"/>
    <numFmt numFmtId="172" formatCode="0&quot; clientes&quot;"/>
    <numFmt numFmtId="173" formatCode="0% &quot;da 2ª mensalidade equivalente&quot;"/>
    <numFmt numFmtId="174" formatCode="&quot;R$ &quot;#,##0&quot; de pró-labore&quot;"/>
    <numFmt numFmtId="175" formatCode="&quot;Pró-labore de &quot;R$ #,##0"/>
    <numFmt numFmtId="176" formatCode="&quot;~R$ &quot;#,##0&quot;/pessoa&quot;"/>
    <numFmt numFmtId="177" formatCode="&quot;~R$ &quot;#,##0&quot;/pessoa com encargos&quot;"/>
    <numFmt numFmtId="178" formatCode="&quot;R$ &quot;#,##0&quot; inicial crescente por fase&quot;"/>
    <numFmt numFmtId="179" formatCode="&quot;R$&quot;#,##0.00"/>
  </numFmts>
  <fonts count="7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24.0"/>
      <color rgb="FF2F618B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CCCCC"/>
        <bgColor rgb="FFCCCCCC"/>
      </patternFill>
    </fill>
    <fill>
      <patternFill patternType="solid">
        <fgColor rgb="FFE5E5E5"/>
        <bgColor rgb="FFE5E5E5"/>
      </patternFill>
    </fill>
    <fill>
      <patternFill patternType="solid">
        <fgColor rgb="FFD9EAF7"/>
        <bgColor rgb="FFD9EA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top"/>
    </xf>
    <xf borderId="2" fillId="2" fontId="2" numFmtId="0" xfId="0" applyBorder="1" applyFont="1"/>
    <xf borderId="1" fillId="2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164" xfId="0" applyFont="1" applyNumberFormat="1"/>
    <xf borderId="0" fillId="0" fontId="4" numFmtId="165" xfId="0" applyFont="1" applyNumberFormat="1"/>
    <xf borderId="1" fillId="2" fontId="2" numFmtId="0" xfId="0" applyAlignment="1" applyBorder="1" applyFont="1">
      <alignment horizontal="center" readingOrder="0" vertical="top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2" fontId="2" numFmtId="0" xfId="0" applyAlignment="1" applyFont="1">
      <alignment horizontal="center" vertical="top"/>
    </xf>
    <xf borderId="0" fillId="2" fontId="2" numFmtId="0" xfId="0" applyAlignment="1" applyFont="1">
      <alignment horizontal="center" readingOrder="0" vertical="top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4" numFmtId="168" xfId="0" applyFont="1" applyNumberFormat="1"/>
    <xf borderId="0" fillId="0" fontId="3" numFmtId="169" xfId="0" applyFont="1" applyNumberFormat="1"/>
    <xf borderId="0" fillId="0" fontId="3" numFmtId="170" xfId="0" applyFont="1" applyNumberFormat="1"/>
    <xf borderId="0" fillId="0" fontId="3" numFmtId="171" xfId="0" applyFont="1" applyNumberFormat="1"/>
    <xf borderId="0" fillId="0" fontId="3" numFmtId="172" xfId="0" applyFont="1" applyNumberFormat="1"/>
    <xf borderId="0" fillId="0" fontId="3" numFmtId="173" xfId="0" applyFont="1" applyNumberFormat="1"/>
    <xf borderId="0" fillId="0" fontId="3" numFmtId="171" xfId="0" applyAlignment="1" applyFont="1" applyNumberFormat="1">
      <alignment readingOrder="0"/>
    </xf>
    <xf borderId="0" fillId="0" fontId="3" numFmtId="174" xfId="0" applyFont="1" applyNumberFormat="1"/>
    <xf borderId="0" fillId="0" fontId="3" numFmtId="175" xfId="0" applyFont="1" applyNumberFormat="1"/>
    <xf borderId="0" fillId="0" fontId="3" numFmtId="176" xfId="0" applyFont="1" applyNumberFormat="1"/>
    <xf borderId="0" fillId="0" fontId="3" numFmtId="177" xfId="0" applyFont="1" applyNumberFormat="1"/>
    <xf borderId="0" fillId="0" fontId="3" numFmtId="178" xfId="0" applyFont="1" applyNumberFormat="1"/>
    <xf borderId="0" fillId="0" fontId="3" numFmtId="10" xfId="0" applyFont="1" applyNumberFormat="1"/>
    <xf borderId="0" fillId="0" fontId="3" numFmtId="167" xfId="0" applyFont="1" applyNumberFormat="1"/>
    <xf borderId="0" fillId="0" fontId="3" numFmtId="9" xfId="0" applyAlignment="1" applyFont="1" applyNumberFormat="1">
      <alignment readingOrder="0"/>
    </xf>
    <xf borderId="0" fillId="3" fontId="5" numFmtId="0" xfId="0" applyAlignment="1" applyFill="1" applyFont="1">
      <alignment horizontal="center" readingOrder="0"/>
    </xf>
    <xf borderId="0" fillId="0" fontId="4" numFmtId="179" xfId="0" applyFont="1" applyNumberFormat="1"/>
    <xf borderId="0" fillId="0" fontId="3" numFmtId="179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79" xfId="0" applyFont="1" applyNumberFormat="1"/>
    <xf borderId="0" fillId="0" fontId="3" numFmtId="10" xfId="0" applyFont="1" applyNumberFormat="1"/>
    <xf borderId="0" fillId="4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2" fillId="5" fontId="4" numFmtId="0" xfId="0" applyBorder="1" applyFill="1" applyFont="1"/>
    <xf borderId="2" fillId="5" fontId="4" numFmtId="165" xfId="0" applyBorder="1" applyFont="1" applyNumberFormat="1"/>
    <xf borderId="2" fillId="5" fontId="4" numFmtId="168" xfId="0" applyBorder="1" applyFont="1" applyNumberFormat="1"/>
    <xf borderId="0" fillId="5" fontId="4" numFmtId="168" xfId="0" applyFont="1" applyNumberFormat="1"/>
    <xf borderId="0" fillId="5" fontId="4" numFmtId="179" xfId="0" applyFont="1" applyNumberFormat="1"/>
    <xf borderId="0" fillId="0" fontId="6" numFmtId="0" xfId="0" applyAlignment="1" applyFont="1">
      <alignment vertical="center"/>
    </xf>
    <xf borderId="0" fillId="0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2F618B"/>
                </a:solidFill>
                <a:latin typeface="Google Sans"/>
              </a:defRPr>
            </a:pPr>
            <a:r>
              <a:rPr b="0" sz="1400">
                <a:solidFill>
                  <a:srgbClr val="2F618B"/>
                </a:solidFill>
                <a:latin typeface="Google Sans"/>
              </a:rPr>
              <a:t>Evolução do MRR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'Projeção Mensal'!$I$1</c:f>
            </c:strRef>
          </c:tx>
          <c:spPr>
            <a:ln cmpd="sng">
              <a:solidFill>
                <a:srgbClr val="2F618B"/>
              </a:solidFill>
            </a:ln>
          </c:spPr>
          <c:marker>
            <c:symbol val="none"/>
          </c:marker>
          <c:cat>
            <c:strRef>
              <c:f>'Projeção Mensal'!$A$2:$A$17</c:f>
            </c:strRef>
          </c:cat>
          <c:val>
            <c:numRef>
              <c:f>'Projeção Mensal'!$I$2:$I$17</c:f>
              <c:numCache/>
            </c:numRef>
          </c:val>
          <c:smooth val="0"/>
        </c:ser>
        <c:axId val="607001827"/>
        <c:axId val="1577592923"/>
      </c:lineChart>
      <c:catAx>
        <c:axId val="607001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592923"/>
      </c:catAx>
      <c:valAx>
        <c:axId val="1577592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001827"/>
      </c:valAx>
    </c:plotArea>
    <c:plotVisOnly val="1"/>
  </c:chart>
  <c:spPr>
    <a:solidFill>
      <a:srgbClr val="F7F8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2F618B"/>
                </a:solidFill>
                <a:latin typeface="Google Sans"/>
              </a:defRPr>
            </a:pPr>
            <a:r>
              <a:rPr b="0" sz="1400">
                <a:solidFill>
                  <a:srgbClr val="2F618B"/>
                </a:solidFill>
                <a:latin typeface="Google Sans"/>
              </a:rPr>
              <a:t>Crescimento do Saldo de Caixa Acumulado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'Projeção Mensal'!$AL$1</c:f>
            </c:strRef>
          </c:tx>
          <c:spPr>
            <a:solidFill>
              <a:srgbClr val="3EC08A">
                <a:alpha val="30000"/>
              </a:srgbClr>
            </a:solidFill>
            <a:ln cmpd="sng">
              <a:solidFill>
                <a:srgbClr val="3EC08A"/>
              </a:solidFill>
            </a:ln>
          </c:spPr>
          <c:cat>
            <c:strRef>
              <c:f>'Projeção Mensal'!$A$2:$A$17</c:f>
            </c:strRef>
          </c:cat>
          <c:val>
            <c:numRef>
              <c:f>'Projeção Mensal'!$AL$2:$AL$17</c:f>
              <c:numCache/>
            </c:numRef>
          </c:val>
        </c:ser>
        <c:axId val="1785964345"/>
        <c:axId val="588957132"/>
      </c:areaChart>
      <c:catAx>
        <c:axId val="1785964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957132"/>
      </c:catAx>
      <c:valAx>
        <c:axId val="588957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964345"/>
      </c:valAx>
    </c:plotArea>
    <c:plotVisOnly val="1"/>
  </c:chart>
  <c:spPr>
    <a:solidFill>
      <a:srgbClr val="F7F8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2F618B"/>
                </a:solidFill>
                <a:latin typeface="Google Sans"/>
              </a:defRPr>
            </a:pPr>
            <a:r>
              <a:rPr b="0" sz="1400">
                <a:solidFill>
                  <a:srgbClr val="2F618B"/>
                </a:solidFill>
                <a:latin typeface="Google Sans"/>
              </a:rPr>
              <a:t>Ritmo de Aquisição de Clientes Ativos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'Projeção Mensal'!$B$1</c:f>
            </c:strRef>
          </c:tx>
          <c:spPr>
            <a:solidFill>
              <a:srgbClr val="81AEDE"/>
            </a:solidFill>
            <a:ln cmpd="sng">
              <a:noFill/>
            </a:ln>
          </c:spPr>
          <c:cat>
            <c:strRef>
              <c:f>'Projeção Mensal'!$A$2:$A$17</c:f>
            </c:strRef>
          </c:cat>
          <c:val>
            <c:numRef>
              <c:f>'Projeção Mensal'!$B$2:$B$17</c:f>
              <c:numCache/>
            </c:numRef>
          </c:val>
        </c:ser>
        <c:axId val="1033492787"/>
        <c:axId val="1910863421"/>
      </c:barChart>
      <c:catAx>
        <c:axId val="1033492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863421"/>
      </c:catAx>
      <c:valAx>
        <c:axId val="1910863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492787"/>
      </c:valAx>
    </c:plotArea>
    <c:plotVisOnly val="1"/>
  </c:chart>
  <c:spPr>
    <a:solidFill>
      <a:srgbClr val="F7F8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2F618B"/>
                </a:solidFill>
                <a:latin typeface="Google Sans"/>
              </a:defRPr>
            </a:pPr>
            <a:r>
              <a:rPr b="0" sz="1400">
                <a:solidFill>
                  <a:srgbClr val="2F618B"/>
                </a:solidFill>
                <a:latin typeface="Google Sans"/>
              </a:rPr>
              <a:t>Volatilidade do Resultado Caixa Mensal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'Projeção Mensal'!$AK$1</c:f>
            </c:strRef>
          </c:tx>
          <c:spPr>
            <a:ln cmpd="sng">
              <a:solidFill>
                <a:srgbClr val="504060"/>
              </a:solidFill>
            </a:ln>
          </c:spPr>
          <c:marker>
            <c:symbol val="none"/>
          </c:marker>
          <c:cat>
            <c:strRef>
              <c:f>'Projeção Mensal'!$A$2:$A$17</c:f>
            </c:strRef>
          </c:cat>
          <c:val>
            <c:numRef>
              <c:f>'Projeção Mensal'!$AK$2:$AK$17</c:f>
              <c:numCache/>
            </c:numRef>
          </c:val>
          <c:smooth val="0"/>
        </c:ser>
        <c:axId val="1376140328"/>
        <c:axId val="223585946"/>
      </c:lineChart>
      <c:catAx>
        <c:axId val="1376140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585946"/>
      </c:catAx>
      <c:valAx>
        <c:axId val="223585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140328"/>
      </c:valAx>
    </c:plotArea>
    <c:plotVisOnly val="1"/>
  </c:chart>
  <c:spPr>
    <a:solidFill>
      <a:srgbClr val="F7F8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5" Type="http://schemas.openxmlformats.org/officeDocument/2006/relationships/chart" Target="../charts/chart2.xml"/><Relationship Id="rId6" Type="http://schemas.openxmlformats.org/officeDocument/2006/relationships/chart" Target="../charts/chart3.xml"/><Relationship Id="rId7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619500" cy="1000125"/>
    <xdr:pic>
      <xdr:nvPicPr>
        <xdr:cNvPr id="497253435" name="Chart1" title="MRR Total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619500" cy="1000125"/>
    <xdr:pic>
      <xdr:nvPicPr>
        <xdr:cNvPr id="1254753560" name="Chart2" title="Clientes Ativo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3619500" cy="1000125"/>
    <xdr:pic>
      <xdr:nvPicPr>
        <xdr:cNvPr id="611529546" name="Chart3" title="Saldo de Caixa Acumulad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0" cy="2190750"/>
    <xdr:graphicFrame>
      <xdr:nvGraphicFramePr>
        <xdr:cNvPr id="4" name="Chart 4" title="Evolução do MRR Tot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9</xdr:row>
      <xdr:rowOff>0</xdr:rowOff>
    </xdr:from>
    <xdr:ext cx="5524500" cy="2190750"/>
    <xdr:graphicFrame>
      <xdr:nvGraphicFramePr>
        <xdr:cNvPr id="5" name="Chart 5" title="Crescimento do Saldo de Caixa Acumul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0</xdr:rowOff>
    </xdr:from>
    <xdr:ext cx="5524500" cy="2190750"/>
    <xdr:graphicFrame>
      <xdr:nvGraphicFramePr>
        <xdr:cNvPr id="6" name="Chart 6" title="Ritmo de Aquisição de Clientes Ativ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0</xdr:colOff>
      <xdr:row>21</xdr:row>
      <xdr:rowOff>0</xdr:rowOff>
    </xdr:from>
    <xdr:ext cx="5524500" cy="2190750"/>
    <xdr:graphicFrame>
      <xdr:nvGraphicFramePr>
        <xdr:cNvPr id="7" name="Chart 7" title="Volatilidade do Resultado Caixa Mens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</cols>
  <sheetData>
    <row r="2" ht="37.5" customHeight="1">
      <c r="B2" s="46" t="s">
        <v>153</v>
      </c>
    </row>
  </sheetData>
  <mergeCells count="1">
    <mergeCell ref="B2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5.0"/>
    <col customWidth="1" min="3" max="3" width="38.0"/>
    <col customWidth="1" min="4" max="26" width="8.71"/>
  </cols>
  <sheetData>
    <row r="1">
      <c r="A1" s="1" t="s">
        <v>0</v>
      </c>
    </row>
    <row r="3">
      <c r="A3" s="3" t="s">
        <v>3</v>
      </c>
      <c r="B3" s="3" t="s">
        <v>6</v>
      </c>
      <c r="C3" s="3" t="s">
        <v>8</v>
      </c>
      <c r="D3" s="3"/>
      <c r="E3" s="3"/>
      <c r="F3" s="3"/>
      <c r="G3" s="3"/>
      <c r="H3" s="3"/>
    </row>
    <row r="4">
      <c r="A4" s="5" t="s">
        <v>11</v>
      </c>
      <c r="B4" s="5">
        <v>345.0</v>
      </c>
      <c r="C4" s="5" t="s">
        <v>16</v>
      </c>
    </row>
    <row r="5">
      <c r="A5" s="5" t="s">
        <v>18</v>
      </c>
      <c r="B5" s="7">
        <v>120750.0</v>
      </c>
      <c r="C5" s="5" t="s">
        <v>20</v>
      </c>
    </row>
    <row r="6">
      <c r="A6" s="5" t="s">
        <v>21</v>
      </c>
      <c r="B6" s="5">
        <v>403.0</v>
      </c>
      <c r="C6" s="5" t="s">
        <v>22</v>
      </c>
    </row>
    <row r="7">
      <c r="A7" s="5" t="s">
        <v>23</v>
      </c>
      <c r="B7" s="7">
        <v>2500.0</v>
      </c>
      <c r="C7" s="5" t="s">
        <v>24</v>
      </c>
    </row>
    <row r="8">
      <c r="A8" s="5" t="s">
        <v>26</v>
      </c>
      <c r="B8" s="7">
        <v>57904.95879658383</v>
      </c>
      <c r="C8" s="5" t="s">
        <v>29</v>
      </c>
    </row>
    <row r="9">
      <c r="A9" s="5" t="s">
        <v>31</v>
      </c>
      <c r="B9" s="7">
        <v>48244.95879658383</v>
      </c>
      <c r="C9" s="5" t="s">
        <v>32</v>
      </c>
    </row>
    <row r="11">
      <c r="A11" s="5" t="s">
        <v>35</v>
      </c>
      <c r="B11" s="1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1:H1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2.0"/>
    <col customWidth="1" min="4" max="4" width="21.0"/>
    <col customWidth="1" min="5" max="5" width="26.0"/>
    <col customWidth="1" min="6" max="9" width="19.14"/>
    <col customWidth="1" min="10" max="10" width="32.0"/>
    <col customWidth="1" min="11" max="11" width="17.0"/>
    <col customWidth="1" min="12" max="12" width="18.0"/>
    <col customWidth="1" min="13" max="13" width="19.0"/>
    <col customWidth="1" min="14" max="14" width="13.0"/>
    <col customWidth="1" min="15" max="15" width="22.0"/>
    <col customWidth="1" min="16" max="16" width="17.0"/>
    <col customWidth="1" min="17" max="17" width="16.0"/>
    <col customWidth="1" min="18" max="18" width="18.0"/>
    <col customWidth="1" min="19" max="19" width="22.0"/>
    <col customWidth="1" min="20" max="21" width="29.0"/>
    <col customWidth="1" min="22" max="22" width="28.0"/>
    <col customWidth="1" min="23" max="23" width="29.0"/>
    <col customWidth="1" min="24" max="24" width="22.0"/>
    <col customWidth="1" min="25" max="25" width="23.0"/>
    <col customWidth="1" min="26" max="26" width="14.0"/>
    <col customWidth="1" min="27" max="27" width="15.0"/>
    <col customWidth="1" min="28" max="28" width="12.0"/>
    <col customWidth="1" min="29" max="29" width="19.0"/>
    <col customWidth="1" min="30" max="30" width="13.0"/>
    <col customWidth="1" min="31" max="31" width="16.0"/>
    <col customWidth="1" min="32" max="32" width="21.0"/>
    <col customWidth="1" min="33" max="33" width="26.0"/>
    <col customWidth="1" min="34" max="37" width="24.0"/>
    <col customWidth="1" min="38" max="38" width="25.57"/>
    <col customWidth="1" min="39" max="39" width="20.14"/>
  </cols>
  <sheetData>
    <row r="1">
      <c r="A1" s="2" t="s">
        <v>2</v>
      </c>
      <c r="B1" s="2" t="s">
        <v>10</v>
      </c>
      <c r="C1" s="2" t="s">
        <v>12</v>
      </c>
      <c r="D1" s="2" t="s">
        <v>13</v>
      </c>
      <c r="E1" s="2" t="s">
        <v>15</v>
      </c>
      <c r="F1" s="2" t="s">
        <v>17</v>
      </c>
      <c r="G1" s="8" t="s">
        <v>19</v>
      </c>
      <c r="H1" s="8" t="s">
        <v>25</v>
      </c>
      <c r="I1" s="8" t="s">
        <v>27</v>
      </c>
      <c r="J1" s="2" t="s">
        <v>30</v>
      </c>
      <c r="K1" s="2" t="s">
        <v>33</v>
      </c>
      <c r="L1" s="2" t="s">
        <v>34</v>
      </c>
      <c r="M1" s="2" t="s">
        <v>37</v>
      </c>
      <c r="N1" s="2" t="s">
        <v>39</v>
      </c>
      <c r="O1" s="2" t="s">
        <v>40</v>
      </c>
      <c r="P1" s="2" t="s">
        <v>42</v>
      </c>
      <c r="Q1" s="2" t="s">
        <v>43</v>
      </c>
      <c r="R1" s="2" t="s">
        <v>44</v>
      </c>
      <c r="S1" s="2" t="s">
        <v>46</v>
      </c>
      <c r="T1" s="2" t="s">
        <v>47</v>
      </c>
      <c r="U1" s="2" t="s">
        <v>48</v>
      </c>
      <c r="V1" s="2" t="s">
        <v>23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4" t="s">
        <v>58</v>
      </c>
      <c r="AG1" s="4" t="s">
        <v>59</v>
      </c>
      <c r="AH1" s="4" t="s">
        <v>60</v>
      </c>
      <c r="AI1" s="12" t="s">
        <v>61</v>
      </c>
      <c r="AJ1" s="12" t="s">
        <v>62</v>
      </c>
      <c r="AK1" s="12" t="s">
        <v>63</v>
      </c>
      <c r="AL1" s="12" t="s">
        <v>64</v>
      </c>
      <c r="AM1" s="13" t="s">
        <v>65</v>
      </c>
    </row>
    <row r="2">
      <c r="A2" s="5" t="s">
        <v>66</v>
      </c>
      <c r="B2" s="5">
        <v>5.0</v>
      </c>
      <c r="C2" s="5">
        <v>0.0</v>
      </c>
      <c r="D2" s="5">
        <v>5.0</v>
      </c>
      <c r="E2" s="5">
        <f t="shared" ref="E2:E17" si="1">D2+C2</f>
        <v>5</v>
      </c>
      <c r="F2" s="7">
        <f>B2*Premissas!$B$3</f>
        <v>1660</v>
      </c>
      <c r="G2" s="7">
        <f t="array" ref="G2">IF(DATE(RIGHT(A2, 4), MATCH(LEFT(A2, 3), {"Jan","Feb","Mar","Apr","May","Jun","Jul","Aug","Sep","Oct","Nov","Dec"}, 0), 1) &gt;= Aluguel!$G$2, B2 * Aluguel!$B$2 * Aluguel!$E$2, 0)</f>
        <v>0</v>
      </c>
      <c r="H2" s="7">
        <f t="array" ref="H2">SUMPRODUCT('Pacotes adicionais'!$C$2:$C$5, 'Pacotes adicionais'!$D$2:$D$5, --(DATE(RIGHT(A2, 4), MATCH(LEFT(A2, 3), {"Jan","Feb","Mar","Apr","May","Jun","Jul","Aug","Sep","Oct","Nov","Dec"}, 0), 1) &gt;= 'Pacotes adicionais'!$F$2:$F$5)) * B2</f>
        <v>18.4925</v>
      </c>
      <c r="I2" s="7">
        <f t="shared" ref="I2:I17" si="2">F2 + G2 + H2</f>
        <v>1678.4925</v>
      </c>
      <c r="J2" s="7">
        <f t="shared" ref="J2:J17" si="3">I2-K2-L2</f>
        <v>587.472375</v>
      </c>
      <c r="K2" s="18">
        <f>IF($A2="", "", IFERROR($E2 * ($I2/$B2) * Premissas!$B$6, 0))</f>
        <v>839.24625</v>
      </c>
      <c r="L2" s="18">
        <f>IF($A2="", "", IFERROR($E2 * Premissas!$B$4 * ($I2/$B2) * Premissas!$B$7, 0))</f>
        <v>251.773875</v>
      </c>
      <c r="M2" s="5">
        <f>E2*'Aquisição'!$B$2</f>
        <v>3</v>
      </c>
      <c r="N2" s="7">
        <v>250.0</v>
      </c>
      <c r="O2" s="7">
        <f t="shared" ref="O2:O17" si="4">M2*N2</f>
        <v>750</v>
      </c>
      <c r="P2" s="5">
        <f>E2*'Aquisição'!$B$3</f>
        <v>1.25</v>
      </c>
      <c r="Q2" s="5">
        <f>P2/Premissas!$B$9</f>
        <v>62.5</v>
      </c>
      <c r="R2" s="7">
        <f>Q2*Premissas!$B$8</f>
        <v>31.25</v>
      </c>
      <c r="S2" s="5">
        <f>E2*'Aquisição'!$B$4</f>
        <v>0.75</v>
      </c>
      <c r="T2" s="7">
        <f>S2*Premissas!$B$3*Premissas!$B$13</f>
        <v>199.2</v>
      </c>
      <c r="U2" s="7">
        <f>SUM($S$2:$S2)*(1-Premissas!$B$2)^(ROW()-2)*Premissas!$B$3*Premissas!$B$10</f>
        <v>24.9</v>
      </c>
      <c r="V2" s="7">
        <f>IF($B2&gt;='Equipe e Remuneração'!$D$6, 'Equipe e Remuneração'!$C$6, 0)</f>
        <v>0</v>
      </c>
      <c r="W2" s="7">
        <f>IF($B2&gt;='Equipe e Remuneração'!$D$3, 'Equipe e Remuneração'!$C$3, 0)</f>
        <v>0</v>
      </c>
      <c r="X2" s="7">
        <f>IF($B2&gt;='Equipe e Remuneração'!$D$5, 'Equipe e Remuneração'!$C$5, 0)</f>
        <v>0</v>
      </c>
      <c r="Y2" s="7">
        <f>IF($B2&gt;='Equipe e Remuneração'!$D$7, 'Equipe e Remuneração'!$C$7, 0)</f>
        <v>0</v>
      </c>
      <c r="Z2" s="7">
        <f>IF($B2&gt;='Equipe e Remuneração'!$D$9+120, 'Equipe e Remuneração'!$C$9*3, IF($B2&gt;='Equipe e Remuneração'!$D$9+60, 'Equipe e Remuneração'!$C$9*2, IF($B2&gt;='Equipe e Remuneração'!$D$9, 'Equipe e Remuneração'!$C$9, 0)))</f>
        <v>0</v>
      </c>
      <c r="AA2" s="7">
        <f>IF($B2&gt;='Equipe e Remuneração'!$D$10+120, 'Equipe e Remuneração'!$C$10+2000, IF($B2&gt;='Equipe e Remuneração'!$D$10+60, 'Equipe e Remuneração'!$C$10+1000, IF($B2&gt;='Equipe e Remuneração'!$D$10, 'Equipe e Remuneração'!$C$10, 0)))</f>
        <v>0</v>
      </c>
      <c r="AB2" s="7">
        <f>IF($B2&gt;='Equipe e Remuneração'!$D$8*2, 'Equipe e Remuneração'!$C$8*2, IF($B2&gt;='Equipe e Remuneração'!$D$8, 'Equipe e Remuneração'!$C$8, 0))</f>
        <v>0</v>
      </c>
      <c r="AC2" s="7">
        <f t="shared" ref="AC2:AC17" si="5">IF($B2&gt;=280, 2500, IF($B2&gt;=160, 1500, 0))</f>
        <v>0</v>
      </c>
      <c r="AD2" s="7">
        <f t="shared" ref="AD2:AD17" si="6">IF($B2&gt;=190, 1500, IF($B2&gt;=110, 1000, IF($B2&gt;=65, 750, IF($B2&gt;=45, 500, IF($B2&gt;=30, 300, 0)))))</f>
        <v>0</v>
      </c>
      <c r="AE2" s="7">
        <f t="shared" ref="AE2:AE17" si="7">IF($B2&gt;=251, 1359.24, IF($B2&gt;=151, 1132.7, IF($B2&gt;=30, 906.16, 442.15)))</f>
        <v>442.15</v>
      </c>
      <c r="AF2" s="7">
        <f>F2*Premissas!$B$12</f>
        <v>132.8</v>
      </c>
      <c r="AG2" s="7">
        <f t="shared" ref="AG2:AG17" si="8">J2 - O2 - R2 - SUM(T2:AE2) - AM2</f>
        <v>-927.348672</v>
      </c>
      <c r="AH2" s="7">
        <f t="shared" ref="AH2:AH17" si="9">AG2-AF2</f>
        <v>-1060.148672</v>
      </c>
      <c r="AI2" s="18">
        <f>IF($A2="", "", IFERROR(($I2 * Premissas!$B$5) + ($E2 * ($I2/$B2) * Premissas!$B$4 * 12), 0))</f>
        <v>7217.51775</v>
      </c>
      <c r="AJ2" s="18">
        <f>IF($A2="", "", $AI2 * Premissas!$B$12)</f>
        <v>577.40142</v>
      </c>
      <c r="AK2" s="18">
        <f t="shared" ref="AK2:AK17" si="10">IF($A2="", "", $AI2 - $AJ2 - $K2 - $L2 - $O2 - $R2 - $T2 - $U2 - SUM($V2:$AE2) - AM2)</f>
        <v>4034.275158</v>
      </c>
      <c r="AL2" s="18">
        <f>AK2</f>
        <v>4034.275158</v>
      </c>
      <c r="AM2" s="34">
        <f>IF($A2="", "", $B2 * 'Taxas de pagamento'!$B$12 + $AI2 * 'Taxas de pagamento'!$C$13)</f>
        <v>67.32104697</v>
      </c>
    </row>
    <row r="3">
      <c r="A3" s="5" t="s">
        <v>136</v>
      </c>
      <c r="B3" s="5">
        <f t="shared" ref="B3:B17" si="11">B2+D3</f>
        <v>12</v>
      </c>
      <c r="C3" s="5">
        <f>ROUND(B2*Premissas!$B$2, 0)</f>
        <v>0</v>
      </c>
      <c r="D3" s="5">
        <v>7.0</v>
      </c>
      <c r="E3" s="5">
        <f t="shared" si="1"/>
        <v>7</v>
      </c>
      <c r="F3" s="7">
        <f>B3*Premissas!$B$3</f>
        <v>3984</v>
      </c>
      <c r="G3" s="7">
        <f t="array" ref="G3">IF(DATE(RIGHT(A3, 4), MATCH(LEFT(A3, 3), {"Jan","Feb","Mar","Apr","May","Jun","Jul","Aug","Sep","Oct","Nov","Dec"}, 0), 1) &gt;= Aluguel!$G$2, B3 * Aluguel!$B$2 * Aluguel!$E$2, 0)</f>
        <v>0</v>
      </c>
      <c r="H3" s="7">
        <f t="array" ref="H3">SUMPRODUCT('Pacotes adicionais'!$C$2:$C$5, 'Pacotes adicionais'!$D$2:$D$5, --(DATE(RIGHT(A3, 4), MATCH(LEFT(A3, 3), {"Jan","Feb","Mar","Apr","May","Jun","Jul","Aug","Sep","Oct","Nov","Dec"}, 0), 1) &gt;= 'Pacotes adicionais'!$F$2:$F$5)) * B3</f>
        <v>113.382</v>
      </c>
      <c r="I3" s="7">
        <f t="shared" si="2"/>
        <v>4097.382</v>
      </c>
      <c r="J3" s="7">
        <f t="shared" si="3"/>
        <v>1956.31895</v>
      </c>
      <c r="K3" s="18">
        <f>IF($A3="", "", IFERROR($E3 * ($I3/$B3) * Premissas!$B$6, 0))</f>
        <v>1195.06975</v>
      </c>
      <c r="L3" s="18">
        <f>IF($A3="", "", IFERROR(($E3 * Premissas!$B$4 * ($I3/$B3) + $E2 * Premissas!$B$5 * ($I2/$B2)) * Premissas!$B$7, 0))</f>
        <v>945.9933</v>
      </c>
      <c r="M3" s="5">
        <f>E3*'Aquisição'!$B$2</f>
        <v>4.2</v>
      </c>
      <c r="N3" s="7">
        <v>240.0</v>
      </c>
      <c r="O3" s="7">
        <f t="shared" si="4"/>
        <v>1008</v>
      </c>
      <c r="P3" s="5">
        <f>E3*'Aquisição'!$B$3</f>
        <v>1.75</v>
      </c>
      <c r="Q3" s="5">
        <f>P3/Premissas!$B$9</f>
        <v>87.5</v>
      </c>
      <c r="R3" s="7">
        <f>Q3*Premissas!$B$8</f>
        <v>43.75</v>
      </c>
      <c r="S3" s="5">
        <f>E3*'Aquisição'!$B$4</f>
        <v>1.05</v>
      </c>
      <c r="T3" s="7">
        <f>S3*Premissas!$B$3*Premissas!$B$13</f>
        <v>278.88</v>
      </c>
      <c r="U3" s="7">
        <f>SUM($S$2:$S3)*(1-Premissas!$B$2)^(ROW()-2)*Premissas!$B$3*Premissas!$B$10</f>
        <v>57.9672</v>
      </c>
      <c r="V3" s="7">
        <f>IF($B3&gt;='Equipe e Remuneração'!$D$6, 'Equipe e Remuneração'!$C$6, 0)</f>
        <v>0</v>
      </c>
      <c r="W3" s="7">
        <f>IF($B3&gt;='Equipe e Remuneração'!$D$3, 'Equipe e Remuneração'!$C$3, 0)</f>
        <v>0</v>
      </c>
      <c r="X3" s="7">
        <f>IF($B3&gt;='Equipe e Remuneração'!$D$5, 'Equipe e Remuneração'!$C$5, 0)</f>
        <v>0</v>
      </c>
      <c r="Y3" s="7">
        <f>IF($B3&gt;='Equipe e Remuneração'!$D$7, 'Equipe e Remuneração'!$C$7, 0)</f>
        <v>0</v>
      </c>
      <c r="Z3" s="7">
        <f>IF($B3&gt;='Equipe e Remuneração'!$D$9+120, 'Equipe e Remuneração'!$C$9*3, IF($B3&gt;='Equipe e Remuneração'!$D$9+60, 'Equipe e Remuneração'!$C$9*2, IF($B3&gt;='Equipe e Remuneração'!$D$9, 'Equipe e Remuneração'!$C$9, 0)))</f>
        <v>0</v>
      </c>
      <c r="AA3" s="7">
        <f>IF($B3&gt;='Equipe e Remuneração'!$D$10+120, 'Equipe e Remuneração'!$C$10+2000, IF($B3&gt;='Equipe e Remuneração'!$D$10+60, 'Equipe e Remuneração'!$C$10+1000, IF($B3&gt;='Equipe e Remuneração'!$D$10, 'Equipe e Remuneração'!$C$10, 0)))</f>
        <v>0</v>
      </c>
      <c r="AB3" s="7">
        <f>IF($B3&gt;='Equipe e Remuneração'!$D$8*2, 'Equipe e Remuneração'!$C$8*2, IF($B3&gt;='Equipe e Remuneração'!$D$8, 'Equipe e Remuneração'!$C$8, 0))</f>
        <v>0</v>
      </c>
      <c r="AC3" s="7">
        <f t="shared" si="5"/>
        <v>0</v>
      </c>
      <c r="AD3" s="7">
        <f t="shared" si="6"/>
        <v>0</v>
      </c>
      <c r="AE3" s="7">
        <f t="shared" si="7"/>
        <v>442.15</v>
      </c>
      <c r="AF3" s="7">
        <f>F3*Premissas!$B$12</f>
        <v>318.72</v>
      </c>
      <c r="AG3" s="7">
        <f t="shared" si="8"/>
        <v>12.43404571</v>
      </c>
      <c r="AH3" s="7">
        <f t="shared" si="9"/>
        <v>-306.2859543</v>
      </c>
      <c r="AI3" s="18">
        <f>IF($A3="", "", IFERROR(($I3 * Premissas!$B$5) + ($E3 * ($I3/$B3) * Premissas!$B$4 * 12), 0))</f>
        <v>11472.6696</v>
      </c>
      <c r="AJ3" s="18">
        <f>IF($A3="", "", $AI3 * Premissas!$B$12)</f>
        <v>917.813568</v>
      </c>
      <c r="AK3" s="18">
        <f t="shared" si="10"/>
        <v>6469.908078</v>
      </c>
      <c r="AL3" s="18">
        <f t="shared" ref="AL3:AL17" si="12">AL2+AK3</f>
        <v>10504.18324</v>
      </c>
      <c r="AM3" s="34">
        <f>IF($A3="", "", $B3 * 'Taxas de pagamento'!$B$12 + $AI3 * 'Taxas de pagamento'!$C$13)</f>
        <v>113.1377043</v>
      </c>
    </row>
    <row r="4">
      <c r="A4" s="5" t="s">
        <v>144</v>
      </c>
      <c r="B4" s="5">
        <f t="shared" si="11"/>
        <v>20</v>
      </c>
      <c r="C4" s="5">
        <f>ROUND(B3*Premissas!$B$2, 0)</f>
        <v>0</v>
      </c>
      <c r="D4" s="5">
        <v>8.0</v>
      </c>
      <c r="E4" s="5">
        <f t="shared" si="1"/>
        <v>8</v>
      </c>
      <c r="F4" s="7">
        <f>B4*Premissas!$B$3</f>
        <v>6640</v>
      </c>
      <c r="G4" s="7">
        <f t="array" ref="G4">IF(DATE(RIGHT(A4, 4), MATCH(LEFT(A4, 3), {"Jan","Feb","Mar","Apr","May","Jun","Jul","Aug","Sep","Oct","Nov","Dec"}, 0), 1) &gt;= Aluguel!$G$2, B4 * Aluguel!$B$2 * Aluguel!$E$2, 0)</f>
        <v>1200</v>
      </c>
      <c r="H4" s="7">
        <f t="array" ref="H4">SUMPRODUCT('Pacotes adicionais'!$C$2:$C$5, 'Pacotes adicionais'!$D$2:$D$5, --(DATE(RIGHT(A4, 4), MATCH(LEFT(A4, 3), {"Jan","Feb","Mar","Apr","May","Jun","Jul","Aug","Sep","Oct","Nov","Dec"}, 0), 1) &gt;= 'Pacotes adicionais'!$F$2:$F$5)) * B4</f>
        <v>188.97</v>
      </c>
      <c r="I4" s="7">
        <f t="shared" si="2"/>
        <v>8028.97</v>
      </c>
      <c r="J4" s="7">
        <f t="shared" si="3"/>
        <v>5104.888975</v>
      </c>
      <c r="K4" s="18">
        <f>IF($A4="", "", IFERROR($E4 * ($I4/$B4) * Premissas!$B$6, 0))</f>
        <v>1605.794</v>
      </c>
      <c r="L4" s="18">
        <f>IF($A4="", "", IFERROR(($E4 * Premissas!$B$4 * ($I4/$B4) + $E3 * Premissas!$B$5 * ($I3/$B3)) * Premissas!$B$7, 0))</f>
        <v>1318.287025</v>
      </c>
      <c r="M4" s="5">
        <f>E4*'Aquisição'!$B$2</f>
        <v>4.8</v>
      </c>
      <c r="N4" s="7">
        <v>230.0</v>
      </c>
      <c r="O4" s="7">
        <f t="shared" si="4"/>
        <v>1104</v>
      </c>
      <c r="P4" s="5">
        <f>E4*'Aquisição'!$B$3</f>
        <v>2</v>
      </c>
      <c r="Q4" s="5">
        <f>P4/Premissas!$B$9</f>
        <v>100</v>
      </c>
      <c r="R4" s="7">
        <f>Q4*Premissas!$B$8</f>
        <v>50</v>
      </c>
      <c r="S4" s="5">
        <f>E4*'Aquisição'!$B$4</f>
        <v>1.2</v>
      </c>
      <c r="T4" s="7">
        <f>S4*Premissas!$B$3*Premissas!$B$13</f>
        <v>318.72</v>
      </c>
      <c r="U4" s="7">
        <f>SUM($S$2:$S4)*(1-Premissas!$B$2)^(ROW()-2)*Premissas!$B$3*Premissas!$B$10</f>
        <v>93.71364</v>
      </c>
      <c r="V4" s="7">
        <f>IF($B4&gt;='Equipe e Remuneração'!$D$6, 'Equipe e Remuneração'!$C$6, 0)</f>
        <v>0</v>
      </c>
      <c r="W4" s="7">
        <f>IF($B4&gt;='Equipe e Remuneração'!$D$3, 'Equipe e Remuneração'!$C$3, 0)</f>
        <v>0</v>
      </c>
      <c r="X4" s="7">
        <f>IF($B4&gt;='Equipe e Remuneração'!$D$5, 'Equipe e Remuneração'!$C$5, 0)</f>
        <v>0</v>
      </c>
      <c r="Y4" s="7">
        <f>IF($B4&gt;='Equipe e Remuneração'!$D$7, 'Equipe e Remuneração'!$C$7, 0)</f>
        <v>0</v>
      </c>
      <c r="Z4" s="7">
        <f>IF($B4&gt;='Equipe e Remuneração'!$D$9+120, 'Equipe e Remuneração'!$C$9*3, IF($B4&gt;='Equipe e Remuneração'!$D$9+60, 'Equipe e Remuneração'!$C$9*2, IF($B4&gt;='Equipe e Remuneração'!$D$9, 'Equipe e Remuneração'!$C$9, 0)))</f>
        <v>0</v>
      </c>
      <c r="AA4" s="7">
        <f>IF($B4&gt;='Equipe e Remuneração'!$D$10+120, 'Equipe e Remuneração'!$C$10+2000, IF($B4&gt;='Equipe e Remuneração'!$D$10+60, 'Equipe e Remuneração'!$C$10+1000, IF($B4&gt;='Equipe e Remuneração'!$D$10, 'Equipe e Remuneração'!$C$10, 0)))</f>
        <v>0</v>
      </c>
      <c r="AB4" s="7">
        <f>IF($B4&gt;='Equipe e Remuneração'!$D$8*2, 'Equipe e Remuneração'!$C$8*2, IF($B4&gt;='Equipe e Remuneração'!$D$8, 'Equipe e Remuneração'!$C$8, 0))</f>
        <v>0</v>
      </c>
      <c r="AC4" s="7">
        <f t="shared" si="5"/>
        <v>0</v>
      </c>
      <c r="AD4" s="7">
        <f t="shared" si="6"/>
        <v>0</v>
      </c>
      <c r="AE4" s="7">
        <f t="shared" si="7"/>
        <v>442.15</v>
      </c>
      <c r="AF4" s="7">
        <f>F4*Premissas!$B$12</f>
        <v>531.2</v>
      </c>
      <c r="AG4" s="7">
        <f t="shared" si="8"/>
        <v>2923.79841</v>
      </c>
      <c r="AH4" s="7">
        <f t="shared" si="9"/>
        <v>2392.59841</v>
      </c>
      <c r="AI4" s="18">
        <f>IF($A4="", "", IFERROR(($I4 * Premissas!$B$5) + ($E4 * ($I4/$B4) * Premissas!$B$4 * 12), 0))</f>
        <v>17181.9958</v>
      </c>
      <c r="AJ4" s="18">
        <f>IF($A4="", "", $AI4 * Premissas!$B$12)</f>
        <v>1374.559664</v>
      </c>
      <c r="AK4" s="18">
        <f t="shared" si="10"/>
        <v>10702.26455</v>
      </c>
      <c r="AL4" s="18">
        <f t="shared" si="12"/>
        <v>21206.44778</v>
      </c>
      <c r="AM4" s="34">
        <f>IF($A4="", "", $B4 * 'Taxas de pagamento'!$B$12 + $AI4 * 'Taxas de pagamento'!$C$13)</f>
        <v>172.5069252</v>
      </c>
    </row>
    <row r="5">
      <c r="A5" s="41" t="s">
        <v>145</v>
      </c>
      <c r="B5" s="41">
        <f t="shared" si="11"/>
        <v>30</v>
      </c>
      <c r="C5" s="41">
        <f>ROUND(B4*Premissas!$B$2, 0)</f>
        <v>1</v>
      </c>
      <c r="D5" s="41">
        <v>10.0</v>
      </c>
      <c r="E5" s="41">
        <f t="shared" si="1"/>
        <v>11</v>
      </c>
      <c r="F5" s="42">
        <f>B5*Premissas!$B$3</f>
        <v>9960</v>
      </c>
      <c r="G5" s="42">
        <f t="array" ref="G5">IF(DATE(RIGHT(A5, 4), MATCH(LEFT(A5, 3), {"Jan","Feb","Mar","Apr","May","Jun","Jul","Aug","Sep","Oct","Nov","Dec"}, 0), 1) &gt;= Aluguel!$G$2, B5 * Aluguel!$B$2 * Aluguel!$E$2, 0)</f>
        <v>1800</v>
      </c>
      <c r="H5" s="42">
        <f t="array" ref="H5">SUMPRODUCT('Pacotes adicionais'!$C$2:$C$5, 'Pacotes adicionais'!$D$2:$D$5, --(DATE(RIGHT(A5, 4), MATCH(LEFT(A5, 3), {"Jan","Feb","Mar","Apr","May","Jun","Jul","Aug","Sep","Oct","Nov","Dec"}, 0), 1) &gt;= 'Pacotes adicionais'!$F$2:$F$5)) * B5</f>
        <v>283.455</v>
      </c>
      <c r="I5" s="42">
        <f t="shared" si="2"/>
        <v>12043.455</v>
      </c>
      <c r="J5" s="42">
        <f t="shared" si="3"/>
        <v>8049.042425</v>
      </c>
      <c r="K5" s="43">
        <f>IF($A5="", "", IFERROR($E5 * ($I5/$B5) * Premissas!$B$6, 0))</f>
        <v>2207.96675</v>
      </c>
      <c r="L5" s="43">
        <f>IF($A5="", "", IFERROR(($E5 * Premissas!$B$4 * ($I5/$B5) + $E4 * Premissas!$B$5 * ($I4/$B4)) * Premissas!$B$7, 0))</f>
        <v>1786.445825</v>
      </c>
      <c r="M5" s="41">
        <f>E5*'Aquisição'!$B$2</f>
        <v>6.6</v>
      </c>
      <c r="N5" s="42">
        <v>220.0</v>
      </c>
      <c r="O5" s="42">
        <f t="shared" si="4"/>
        <v>1452</v>
      </c>
      <c r="P5" s="41">
        <f>E5*'Aquisição'!$B$3</f>
        <v>2.75</v>
      </c>
      <c r="Q5" s="41">
        <f>P5/Premissas!$B$9</f>
        <v>137.5</v>
      </c>
      <c r="R5" s="42">
        <f>Q5*Premissas!$B$8</f>
        <v>68.75</v>
      </c>
      <c r="S5" s="41">
        <f>E5*'Aquisição'!$B$4</f>
        <v>1.65</v>
      </c>
      <c r="T5" s="42">
        <f>S5*Premissas!$B$3*Premissas!$B$13</f>
        <v>438.24</v>
      </c>
      <c r="U5" s="42">
        <f>SUM($S$2:$S5)*(1-Premissas!$B$2)^(ROW()-2)*Premissas!$B$3*Premissas!$B$10</f>
        <v>140.8984577</v>
      </c>
      <c r="V5" s="42">
        <f>IF($B5&gt;='Equipe e Remuneração'!$D$6, 'Equipe e Remuneração'!$C$6, 0)</f>
        <v>2500</v>
      </c>
      <c r="W5" s="42">
        <f>IF($B5&gt;='Equipe e Remuneração'!$D$3, 'Equipe e Remuneração'!$C$3, 0)</f>
        <v>0</v>
      </c>
      <c r="X5" s="42">
        <f>IF($B5&gt;='Equipe e Remuneração'!$D$5, 'Equipe e Remuneração'!$C$5, 0)</f>
        <v>0</v>
      </c>
      <c r="Y5" s="42">
        <f>IF($B5&gt;='Equipe e Remuneração'!$D$7, 'Equipe e Remuneração'!$C$7, 0)</f>
        <v>0</v>
      </c>
      <c r="Z5" s="42">
        <f>IF($B5&gt;='Equipe e Remuneração'!$D$9+120, 'Equipe e Remuneração'!$C$9*3, IF($B5&gt;='Equipe e Remuneração'!$D$9+60, 'Equipe e Remuneração'!$C$9*2, IF($B5&gt;='Equipe e Remuneração'!$D$9, 'Equipe e Remuneração'!$C$9, 0)))</f>
        <v>0</v>
      </c>
      <c r="AA5" s="42">
        <f>IF($B5&gt;='Equipe e Remuneração'!$D$10+120, 'Equipe e Remuneração'!$C$10+2000, IF($B5&gt;='Equipe e Remuneração'!$D$10+60, 'Equipe e Remuneração'!$C$10+1000, IF($B5&gt;='Equipe e Remuneração'!$D$10, 'Equipe e Remuneração'!$C$10, 0)))</f>
        <v>0</v>
      </c>
      <c r="AB5" s="42">
        <f>IF($B5&gt;='Equipe e Remuneração'!$D$8*2, 'Equipe e Remuneração'!$C$8*2, IF($B5&gt;='Equipe e Remuneração'!$D$8, 'Equipe e Remuneração'!$C$8, 0))</f>
        <v>0</v>
      </c>
      <c r="AC5" s="42">
        <f t="shared" si="5"/>
        <v>0</v>
      </c>
      <c r="AD5" s="42">
        <f t="shared" si="6"/>
        <v>300</v>
      </c>
      <c r="AE5" s="42">
        <f t="shared" si="7"/>
        <v>906.16</v>
      </c>
      <c r="AF5" s="42">
        <f>F5*Premissas!$B$12</f>
        <v>796.8</v>
      </c>
      <c r="AG5" s="42">
        <f t="shared" si="8"/>
        <v>1996.199956</v>
      </c>
      <c r="AH5" s="42">
        <f t="shared" si="9"/>
        <v>1199.399956</v>
      </c>
      <c r="AI5" s="44">
        <f>IF($A5="", "", IFERROR(($I5 * Premissas!$B$5) + ($E5 * ($I5/$B5) * Premissas!$B$4 * 12), 0))</f>
        <v>24327.7791</v>
      </c>
      <c r="AJ5" s="44">
        <f>IF($A5="", "", $AI5 * Premissas!$B$12)</f>
        <v>1946.222328</v>
      </c>
      <c r="AK5" s="44">
        <f t="shared" si="10"/>
        <v>12334.30173</v>
      </c>
      <c r="AL5" s="44">
        <f t="shared" si="12"/>
        <v>33540.74951</v>
      </c>
      <c r="AM5" s="45">
        <f>IF($A5="", "", $B5 * 'Taxas de pagamento'!$B$12 + $AI5 * 'Taxas de pagamento'!$C$13)</f>
        <v>246.7940109</v>
      </c>
    </row>
    <row r="6">
      <c r="A6" s="5" t="s">
        <v>146</v>
      </c>
      <c r="B6" s="5">
        <f t="shared" si="11"/>
        <v>45</v>
      </c>
      <c r="C6" s="5">
        <f>ROUND(B5*Premissas!$B$2, 0)</f>
        <v>1</v>
      </c>
      <c r="D6" s="5">
        <v>15.0</v>
      </c>
      <c r="E6" s="5">
        <f t="shared" si="1"/>
        <v>16</v>
      </c>
      <c r="F6" s="7">
        <f>B6*Premissas!$B$3</f>
        <v>14940</v>
      </c>
      <c r="G6" s="7">
        <f t="array" ref="G6">IF(DATE(RIGHT(A6, 4), MATCH(LEFT(A6, 3), {"Jan","Feb","Mar","Apr","May","Jun","Jul","Aug","Sep","Oct","Nov","Dec"}, 0), 1) &gt;= Aluguel!$G$2, B6 * Aluguel!$B$2 * Aluguel!$E$2, 0)</f>
        <v>2700</v>
      </c>
      <c r="H6" s="7">
        <f t="array" ref="H6">SUMPRODUCT('Pacotes adicionais'!$C$2:$C$5, 'Pacotes adicionais'!$D$2:$D$5, --(DATE(RIGHT(A6, 4), MATCH(LEFT(A6, 3), {"Jan","Feb","Mar","Apr","May","Jun","Jul","Aug","Sep","Oct","Nov","Dec"}, 0), 1) &gt;= 'Pacotes adicionais'!$F$2:$F$5)) * B6</f>
        <v>425.1825</v>
      </c>
      <c r="I6" s="7">
        <f t="shared" si="2"/>
        <v>18065.1825</v>
      </c>
      <c r="J6" s="7">
        <f t="shared" si="3"/>
        <v>12344.54138</v>
      </c>
      <c r="K6" s="18">
        <f>IF($A6="", "", IFERROR($E6 * ($I6/$B6) * Premissas!$B$6, 0))</f>
        <v>3211.588</v>
      </c>
      <c r="L6" s="18">
        <f>IF($A6="", "", IFERROR(($E6 * Premissas!$B$4 * ($I6/$B6) + $E5 * Premissas!$B$5 * ($I5/$B5)) * Premissas!$B$7, 0))</f>
        <v>2509.053125</v>
      </c>
      <c r="M6" s="5">
        <f>E6*'Aquisição'!$B$2</f>
        <v>9.6</v>
      </c>
      <c r="N6" s="7">
        <v>210.0</v>
      </c>
      <c r="O6" s="7">
        <f t="shared" si="4"/>
        <v>2016</v>
      </c>
      <c r="P6" s="5">
        <f>E6*'Aquisição'!$B$3</f>
        <v>4</v>
      </c>
      <c r="Q6" s="5">
        <f>P6/Premissas!$B$9</f>
        <v>200</v>
      </c>
      <c r="R6" s="7">
        <f>Q6*Premissas!$B$8</f>
        <v>100</v>
      </c>
      <c r="S6" s="5">
        <f>E6*'Aquisição'!$B$4</f>
        <v>2.4</v>
      </c>
      <c r="T6" s="7">
        <f>S6*Premissas!$B$3*Premissas!$B$13</f>
        <v>637.44</v>
      </c>
      <c r="U6" s="7">
        <f>SUM($S$2:$S6)*(1-Premissas!$B$2)^(ROW()-2)*Premissas!$B$3*Premissas!$B$10</f>
        <v>207.2116351</v>
      </c>
      <c r="V6" s="7">
        <f>IF($B6&gt;='Equipe e Remuneração'!$D$6, 'Equipe e Remuneração'!$C$6, 0)</f>
        <v>2500</v>
      </c>
      <c r="W6" s="7">
        <f>IF($B6&gt;='Equipe e Remuneração'!$D$3, 'Equipe e Remuneração'!$C$3, 0)</f>
        <v>0</v>
      </c>
      <c r="X6" s="7">
        <f>IF($B6&gt;='Equipe e Remuneração'!$D$5, 'Equipe e Remuneração'!$C$5, 0)</f>
        <v>0</v>
      </c>
      <c r="Y6" s="7">
        <f>IF($B6&gt;='Equipe e Remuneração'!$D$7, 'Equipe e Remuneração'!$C$7, 0)</f>
        <v>0</v>
      </c>
      <c r="Z6" s="7">
        <f>IF($B6&gt;='Equipe e Remuneração'!$D$9+120, 'Equipe e Remuneração'!$C$9*3, IF($B6&gt;='Equipe e Remuneração'!$D$9+60, 'Equipe e Remuneração'!$C$9*2, IF($B6&gt;='Equipe e Remuneração'!$D$9, 'Equipe e Remuneração'!$C$9, 0)))</f>
        <v>0</v>
      </c>
      <c r="AA6" s="7">
        <f>IF($B6&gt;='Equipe e Remuneração'!$D$10+120, 'Equipe e Remuneração'!$C$10+2000, IF($B6&gt;='Equipe e Remuneração'!$D$10+60, 'Equipe e Remuneração'!$C$10+1000, IF($B6&gt;='Equipe e Remuneração'!$D$10, 'Equipe e Remuneração'!$C$10, 0)))</f>
        <v>0</v>
      </c>
      <c r="AB6" s="7">
        <f>IF($B6&gt;='Equipe e Remuneração'!$D$8*2, 'Equipe e Remuneração'!$C$8*2, IF($B6&gt;='Equipe e Remuneração'!$D$8, 'Equipe e Remuneração'!$C$8, 0))</f>
        <v>0</v>
      </c>
      <c r="AC6" s="7">
        <f t="shared" si="5"/>
        <v>0</v>
      </c>
      <c r="AD6" s="7">
        <f t="shared" si="6"/>
        <v>500</v>
      </c>
      <c r="AE6" s="7">
        <f t="shared" si="7"/>
        <v>906.16</v>
      </c>
      <c r="AF6" s="7">
        <f>F6*Premissas!$B$12</f>
        <v>1195.2</v>
      </c>
      <c r="AG6" s="7">
        <f t="shared" si="8"/>
        <v>5113.521912</v>
      </c>
      <c r="AH6" s="7">
        <f t="shared" si="9"/>
        <v>3918.321912</v>
      </c>
      <c r="AI6" s="18">
        <f>IF($A6="", "", IFERROR(($I6 * Premissas!$B$5) + ($E6 * ($I6/$B6) * Premissas!$B$4 * 12), 0))</f>
        <v>35769.06135</v>
      </c>
      <c r="AJ6" s="18">
        <f>IF($A6="", "", $AI6 * Premissas!$B$12)</f>
        <v>2861.524908</v>
      </c>
      <c r="AK6" s="18">
        <f t="shared" si="10"/>
        <v>19955.87585</v>
      </c>
      <c r="AL6" s="18">
        <f t="shared" si="12"/>
        <v>53496.62536</v>
      </c>
      <c r="AM6" s="34">
        <f>IF($A6="", "", $B6 * 'Taxas de pagamento'!$B$12 + $AI6 * 'Taxas de pagamento'!$C$13)</f>
        <v>364.207828</v>
      </c>
    </row>
    <row r="7">
      <c r="A7" s="41" t="s">
        <v>147</v>
      </c>
      <c r="B7" s="41">
        <f t="shared" si="11"/>
        <v>65</v>
      </c>
      <c r="C7" s="41">
        <f>ROUND(B6*Premissas!$B$2, 0)</f>
        <v>1</v>
      </c>
      <c r="D7" s="41">
        <v>20.0</v>
      </c>
      <c r="E7" s="41">
        <f t="shared" si="1"/>
        <v>21</v>
      </c>
      <c r="F7" s="42">
        <f>B7*Premissas!$B$3</f>
        <v>21580</v>
      </c>
      <c r="G7" s="42">
        <f t="array" ref="G7">IF(DATE(RIGHT(A7, 4), MATCH(LEFT(A7, 3), {"Jan","Feb","Mar","Apr","May","Jun","Jul","Aug","Sep","Oct","Nov","Dec"}, 0), 1) &gt;= Aluguel!$G$2, B7 * Aluguel!$B$2 * Aluguel!$E$2, 0)</f>
        <v>3900</v>
      </c>
      <c r="H7" s="42">
        <f t="array" ref="H7">SUMPRODUCT('Pacotes adicionais'!$C$2:$C$5, 'Pacotes adicionais'!$D$2:$D$5, --(DATE(RIGHT(A7, 4), MATCH(LEFT(A7, 3), {"Jan","Feb","Mar","Apr","May","Jun","Jul","Aug","Sep","Oct","Nov","Dec"}, 0), 1) &gt;= 'Pacotes adicionais'!$F$2:$F$5)) * B7</f>
        <v>614.1525</v>
      </c>
      <c r="I7" s="42">
        <f t="shared" si="2"/>
        <v>26094.1525</v>
      </c>
      <c r="J7" s="42">
        <f t="shared" si="3"/>
        <v>18366.26888</v>
      </c>
      <c r="K7" s="43">
        <f>IF($A7="", "", IFERROR($E7 * ($I7/$B7) * Premissas!$B$6, 0))</f>
        <v>4215.20925</v>
      </c>
      <c r="L7" s="43">
        <f>IF($A7="", "", IFERROR(($E7 * Premissas!$B$4 * ($I7/$B7) + $E6 * Premissas!$B$5 * ($I6/$B6)) * Premissas!$B$7, 0))</f>
        <v>3512.674375</v>
      </c>
      <c r="M7" s="41">
        <f>E7*'Aquisição'!$B$2</f>
        <v>12.6</v>
      </c>
      <c r="N7" s="42">
        <v>200.0</v>
      </c>
      <c r="O7" s="42">
        <f t="shared" si="4"/>
        <v>2520</v>
      </c>
      <c r="P7" s="41">
        <f>E7*'Aquisição'!$B$3</f>
        <v>5.25</v>
      </c>
      <c r="Q7" s="41">
        <f>P7/Premissas!$B$9</f>
        <v>262.5</v>
      </c>
      <c r="R7" s="42">
        <f>Q7*Premissas!$B$8</f>
        <v>131.25</v>
      </c>
      <c r="S7" s="41">
        <f>E7*'Aquisição'!$B$4</f>
        <v>3.15</v>
      </c>
      <c r="T7" s="42">
        <f>S7*Premissas!$B$3*Premissas!$B$13</f>
        <v>836.64</v>
      </c>
      <c r="U7" s="42">
        <f>SUM($S$2:$S7)*(1-Premissas!$B$2)^(ROW()-2)*Premissas!$B$3*Premissas!$B$10</f>
        <v>290.8016905</v>
      </c>
      <c r="V7" s="42">
        <f>IF($B7&gt;='Equipe e Remuneração'!$D$6, 'Equipe e Remuneração'!$C$6, 0)</f>
        <v>2500</v>
      </c>
      <c r="W7" s="42">
        <f>IF($B7&gt;='Equipe e Remuneração'!$D$3, 'Equipe e Remuneração'!$C$3, 0)</f>
        <v>2000</v>
      </c>
      <c r="X7" s="42">
        <f>IF($B7&gt;='Equipe e Remuneração'!$D$5, 'Equipe e Remuneração'!$C$5, 0)</f>
        <v>0</v>
      </c>
      <c r="Y7" s="42">
        <f>IF($B7&gt;='Equipe e Remuneração'!$D$7, 'Equipe e Remuneração'!$C$7, 0)</f>
        <v>0</v>
      </c>
      <c r="Z7" s="42">
        <f>IF($B7&gt;='Equipe e Remuneração'!$D$9+120, 'Equipe e Remuneração'!$C$9*3, IF($B7&gt;='Equipe e Remuneração'!$D$9+60, 'Equipe e Remuneração'!$C$9*2, IF($B7&gt;='Equipe e Remuneração'!$D$9, 'Equipe e Remuneração'!$C$9, 0)))</f>
        <v>0</v>
      </c>
      <c r="AA7" s="42">
        <f>IF($B7&gt;='Equipe e Remuneração'!$D$10+120, 'Equipe e Remuneração'!$C$10+2000, IF($B7&gt;='Equipe e Remuneração'!$D$10+60, 'Equipe e Remuneração'!$C$10+1000, IF($B7&gt;='Equipe e Remuneração'!$D$10, 'Equipe e Remuneração'!$C$10, 0)))</f>
        <v>0</v>
      </c>
      <c r="AB7" s="42">
        <f>IF($B7&gt;='Equipe e Remuneração'!$D$8*2, 'Equipe e Remuneração'!$C$8*2, IF($B7&gt;='Equipe e Remuneração'!$D$8, 'Equipe e Remuneração'!$C$8, 0))</f>
        <v>0</v>
      </c>
      <c r="AC7" s="42">
        <f t="shared" si="5"/>
        <v>0</v>
      </c>
      <c r="AD7" s="42">
        <f t="shared" si="6"/>
        <v>750</v>
      </c>
      <c r="AE7" s="42">
        <f t="shared" si="7"/>
        <v>906.16</v>
      </c>
      <c r="AF7" s="42">
        <f>F7*Premissas!$B$12</f>
        <v>1726.4</v>
      </c>
      <c r="AG7" s="42">
        <f t="shared" si="8"/>
        <v>7930.601562</v>
      </c>
      <c r="AH7" s="42">
        <f t="shared" si="9"/>
        <v>6204.201562</v>
      </c>
      <c r="AI7" s="44">
        <f>IF($A7="", "", IFERROR(($I7 * Premissas!$B$5) + ($E7 * ($I7/$B7) * Premissas!$B$4 * 12), 0))</f>
        <v>48615.41335</v>
      </c>
      <c r="AJ7" s="44">
        <f>IF($A7="", "", $AI7 * Premissas!$B$12)</f>
        <v>3889.233068</v>
      </c>
      <c r="AK7" s="44">
        <f t="shared" si="10"/>
        <v>26562.62934</v>
      </c>
      <c r="AL7" s="44">
        <f t="shared" si="12"/>
        <v>80059.25471</v>
      </c>
      <c r="AM7" s="45">
        <f>IF($A7="", "", $B7 * 'Taxas de pagamento'!$B$12 + $AI7 * 'Taxas de pagamento'!$C$13)</f>
        <v>500.8156225</v>
      </c>
    </row>
    <row r="8">
      <c r="A8" s="41" t="s">
        <v>148</v>
      </c>
      <c r="B8" s="41">
        <f t="shared" si="11"/>
        <v>85</v>
      </c>
      <c r="C8" s="41">
        <f>ROUND(B7*Premissas!$B$2, 0)</f>
        <v>2</v>
      </c>
      <c r="D8" s="41">
        <v>20.0</v>
      </c>
      <c r="E8" s="41">
        <f t="shared" si="1"/>
        <v>22</v>
      </c>
      <c r="F8" s="42">
        <f>B8*Premissas!$B$3</f>
        <v>28220</v>
      </c>
      <c r="G8" s="42">
        <f t="array" ref="G8">IF(DATE(RIGHT(A8, 4), MATCH(LEFT(A8, 3), {"Jan","Feb","Mar","Apr","May","Jun","Jul","Aug","Sep","Oct","Nov","Dec"}, 0), 1) &gt;= Aluguel!$G$2, B8 * Aluguel!$B$2 * Aluguel!$E$2, 0)</f>
        <v>5100</v>
      </c>
      <c r="H8" s="42">
        <f t="array" ref="H8">SUMPRODUCT('Pacotes adicionais'!$C$2:$C$5, 'Pacotes adicionais'!$D$2:$D$5, --(DATE(RIGHT(A8, 4), MATCH(LEFT(A8, 3), {"Jan","Feb","Mar","Apr","May","Jun","Jul","Aug","Sep","Oct","Nov","Dec"}, 0), 1) &gt;= 'Pacotes adicionais'!$F$2:$F$5)) * B8</f>
        <v>803.1225</v>
      </c>
      <c r="I8" s="42">
        <f t="shared" si="2"/>
        <v>34123.1225</v>
      </c>
      <c r="J8" s="42">
        <f t="shared" si="3"/>
        <v>25431.76248</v>
      </c>
      <c r="K8" s="43">
        <f>IF($A8="", "", IFERROR($E8 * ($I8/$B8) * Premissas!$B$6, 0))</f>
        <v>4415.9335</v>
      </c>
      <c r="L8" s="43">
        <f>IF($A8="", "", IFERROR(($E8 * Premissas!$B$4 * ($I8/$B8) + $E7 * Premissas!$B$5 * ($I7/$B7)) * Premissas!$B$7, 0))</f>
        <v>4275.426525</v>
      </c>
      <c r="M8" s="41">
        <f>E8*'Aquisição'!$B$2</f>
        <v>13.2</v>
      </c>
      <c r="N8" s="42">
        <v>200.0</v>
      </c>
      <c r="O8" s="42">
        <f t="shared" si="4"/>
        <v>2640</v>
      </c>
      <c r="P8" s="41">
        <f>E8*'Aquisição'!$B$3</f>
        <v>5.5</v>
      </c>
      <c r="Q8" s="41">
        <f>P8/Premissas!$B$9</f>
        <v>275</v>
      </c>
      <c r="R8" s="42">
        <f>Q8*Premissas!$B$8</f>
        <v>137.5</v>
      </c>
      <c r="S8" s="41">
        <f>E8*'Aquisição'!$B$4</f>
        <v>3.3</v>
      </c>
      <c r="T8" s="42">
        <f>S8*Premissas!$B$3*Premissas!$B$13</f>
        <v>876.48</v>
      </c>
      <c r="U8" s="42">
        <f>SUM($S$2:$S8)*(1-Premissas!$B$2)^(ROW()-2)*Premissas!$B$3*Premissas!$B$10</f>
        <v>373.3380526</v>
      </c>
      <c r="V8" s="42">
        <f>IF($B8&gt;='Equipe e Remuneração'!$D$6, 'Equipe e Remuneração'!$C$6, 0)</f>
        <v>2500</v>
      </c>
      <c r="W8" s="42">
        <f>IF($B8&gt;='Equipe e Remuneração'!$D$3, 'Equipe e Remuneração'!$C$3, 0)</f>
        <v>2000</v>
      </c>
      <c r="X8" s="42">
        <f>IF($B8&gt;='Equipe e Remuneração'!$D$5, 'Equipe e Remuneração'!$C$5, 0)</f>
        <v>3000</v>
      </c>
      <c r="Y8" s="42">
        <f>IF($B8&gt;='Equipe e Remuneração'!$D$7, 'Equipe e Remuneração'!$C$7, 0)</f>
        <v>0</v>
      </c>
      <c r="Z8" s="42">
        <f>IF($B8&gt;='Equipe e Remuneração'!$D$9+120, 'Equipe e Remuneração'!$C$9*3, IF($B8&gt;='Equipe e Remuneração'!$D$9+60, 'Equipe e Remuneração'!$C$9*2, IF($B8&gt;='Equipe e Remuneração'!$D$9, 'Equipe e Remuneração'!$C$9, 0)))</f>
        <v>0</v>
      </c>
      <c r="AA8" s="42">
        <f>IF($B8&gt;='Equipe e Remuneração'!$D$10+120, 'Equipe e Remuneração'!$C$10+2000, IF($B8&gt;='Equipe e Remuneração'!$D$10+60, 'Equipe e Remuneração'!$C$10+1000, IF($B8&gt;='Equipe e Remuneração'!$D$10, 'Equipe e Remuneração'!$C$10, 0)))</f>
        <v>0</v>
      </c>
      <c r="AB8" s="42">
        <f>IF($B8&gt;='Equipe e Remuneração'!$D$8*2, 'Equipe e Remuneração'!$C$8*2, IF($B8&gt;='Equipe e Remuneração'!$D$8, 'Equipe e Remuneração'!$C$8, 0))</f>
        <v>0</v>
      </c>
      <c r="AC8" s="42">
        <f t="shared" si="5"/>
        <v>0</v>
      </c>
      <c r="AD8" s="42">
        <f t="shared" si="6"/>
        <v>750</v>
      </c>
      <c r="AE8" s="42">
        <f t="shared" si="7"/>
        <v>906.16</v>
      </c>
      <c r="AF8" s="42">
        <f>F8*Premissas!$B$12</f>
        <v>2257.6</v>
      </c>
      <c r="AG8" s="42">
        <f t="shared" si="8"/>
        <v>11658.72651</v>
      </c>
      <c r="AH8" s="42">
        <f t="shared" si="9"/>
        <v>9401.126513</v>
      </c>
      <c r="AI8" s="44">
        <f>IF($A8="", "", IFERROR(($I8 * Premissas!$B$5) + ($E8 * ($I8/$B8) * Premissas!$B$4 * 12), 0))</f>
        <v>55680.90695</v>
      </c>
      <c r="AJ8" s="44">
        <f>IF($A8="", "", $AI8 * Premissas!$B$12)</f>
        <v>4454.472556</v>
      </c>
      <c r="AK8" s="44">
        <f t="shared" si="10"/>
        <v>28762.03841</v>
      </c>
      <c r="AL8" s="44">
        <f t="shared" si="12"/>
        <v>108821.2931</v>
      </c>
      <c r="AM8" s="45">
        <f>IF($A8="", "", $B8 * 'Taxas de pagamento'!$B$12 + $AI8 * 'Taxas de pagamento'!$C$13)</f>
        <v>589.5579095</v>
      </c>
    </row>
    <row r="9">
      <c r="A9" s="41" t="s">
        <v>149</v>
      </c>
      <c r="B9" s="41">
        <f t="shared" si="11"/>
        <v>110</v>
      </c>
      <c r="C9" s="41">
        <f>ROUND(B8*Premissas!$B$2, 0)</f>
        <v>3</v>
      </c>
      <c r="D9" s="41">
        <v>25.0</v>
      </c>
      <c r="E9" s="41">
        <f t="shared" si="1"/>
        <v>28</v>
      </c>
      <c r="F9" s="42">
        <f>B9*Premissas!$B$3</f>
        <v>36520</v>
      </c>
      <c r="G9" s="42">
        <f t="array" ref="G9">IF(DATE(RIGHT(A9, 4), MATCH(LEFT(A9, 3), {"Jan","Feb","Mar","Apr","May","Jun","Jul","Aug","Sep","Oct","Nov","Dec"}, 0), 1) &gt;= Aluguel!$G$2, B9 * Aluguel!$B$2 * Aluguel!$E$2, 0)</f>
        <v>6600</v>
      </c>
      <c r="H9" s="42">
        <f t="array" ref="H9">SUMPRODUCT('Pacotes adicionais'!$C$2:$C$5, 'Pacotes adicionais'!$D$2:$D$5, --(DATE(RIGHT(A9, 4), MATCH(LEFT(A9, 3), {"Jan","Feb","Mar","Apr","May","Jun","Jul","Aug","Sep","Oct","Nov","Dec"}, 0), 1) &gt;= 'Pacotes adicionais'!$F$2:$F$5)) * B9</f>
        <v>1039.335</v>
      </c>
      <c r="I9" s="42">
        <f t="shared" si="2"/>
        <v>44159.335</v>
      </c>
      <c r="J9" s="42">
        <f t="shared" si="3"/>
        <v>33761.81885</v>
      </c>
      <c r="K9" s="43">
        <f>IF($A9="", "", IFERROR($E9 * ($I9/$B9) * Premissas!$B$6, 0))</f>
        <v>5620.279</v>
      </c>
      <c r="L9" s="43">
        <f>IF($A9="", "", IFERROR(($E9 * Premissas!$B$4 * ($I9/$B9) + $E8 * Premissas!$B$5 * ($I8/$B8)) * Premissas!$B$7, 0))</f>
        <v>4777.23715</v>
      </c>
      <c r="M9" s="41">
        <f>E9*'Aquisição'!$B$2</f>
        <v>16.8</v>
      </c>
      <c r="N9" s="42">
        <v>190.0</v>
      </c>
      <c r="O9" s="42">
        <f t="shared" si="4"/>
        <v>3192</v>
      </c>
      <c r="P9" s="41">
        <f>E9*'Aquisição'!$B$3</f>
        <v>7</v>
      </c>
      <c r="Q9" s="41">
        <f>P9/Premissas!$B$9</f>
        <v>350</v>
      </c>
      <c r="R9" s="42">
        <f>Q9*Premissas!$B$8</f>
        <v>175</v>
      </c>
      <c r="S9" s="41">
        <f>E9*'Aquisição'!$B$4</f>
        <v>4.2</v>
      </c>
      <c r="T9" s="42">
        <f>S9*Premissas!$B$3*Premissas!$B$13</f>
        <v>1115.52</v>
      </c>
      <c r="U9" s="42">
        <f>SUM($S$2:$S9)*(1-Premissas!$B$2)^(ROW()-2)*Premissas!$B$3*Premissas!$B$10</f>
        <v>474.8030389</v>
      </c>
      <c r="V9" s="42">
        <f>IF($B9&gt;='Equipe e Remuneração'!$D$6, 'Equipe e Remuneração'!$C$6, 0)</f>
        <v>2500</v>
      </c>
      <c r="W9" s="42">
        <f>IF($B9&gt;='Equipe e Remuneração'!$D$3, 'Equipe e Remuneração'!$C$3, 0)</f>
        <v>2000</v>
      </c>
      <c r="X9" s="42">
        <f>IF($B9&gt;='Equipe e Remuneração'!$D$5, 'Equipe e Remuneração'!$C$5, 0)</f>
        <v>3000</v>
      </c>
      <c r="Y9" s="42">
        <f>IF($B9&gt;='Equipe e Remuneração'!$D$7, 'Equipe e Remuneração'!$C$7, 0)</f>
        <v>1500</v>
      </c>
      <c r="Z9" s="42">
        <f>IF($B9&gt;='Equipe e Remuneração'!$D$9+120, 'Equipe e Remuneração'!$C$9*3, IF($B9&gt;='Equipe e Remuneração'!$D$9+60, 'Equipe e Remuneração'!$C$9*2, IF($B9&gt;='Equipe e Remuneração'!$D$9, 'Equipe e Remuneração'!$C$9, 0)))</f>
        <v>0</v>
      </c>
      <c r="AA9" s="42">
        <f>IF($B9&gt;='Equipe e Remuneração'!$D$10+120, 'Equipe e Remuneração'!$C$10+2000, IF($B9&gt;='Equipe e Remuneração'!$D$10+60, 'Equipe e Remuneração'!$C$10+1000, IF($B9&gt;='Equipe e Remuneração'!$D$10, 'Equipe e Remuneração'!$C$10, 0)))</f>
        <v>0</v>
      </c>
      <c r="AB9" s="42">
        <f>IF($B9&gt;='Equipe e Remuneração'!$D$8*2, 'Equipe e Remuneração'!$C$8*2, IF($B9&gt;='Equipe e Remuneração'!$D$8, 'Equipe e Remuneração'!$C$8, 0))</f>
        <v>1000</v>
      </c>
      <c r="AC9" s="42">
        <f t="shared" si="5"/>
        <v>0</v>
      </c>
      <c r="AD9" s="42">
        <f t="shared" si="6"/>
        <v>1000</v>
      </c>
      <c r="AE9" s="42">
        <f t="shared" si="7"/>
        <v>906.16</v>
      </c>
      <c r="AF9" s="42">
        <f>F9*Premissas!$B$12</f>
        <v>2921.6</v>
      </c>
      <c r="AG9" s="42">
        <f t="shared" si="8"/>
        <v>16141.00975</v>
      </c>
      <c r="AH9" s="42">
        <f t="shared" si="9"/>
        <v>13219.40975</v>
      </c>
      <c r="AI9" s="44">
        <f>IF($A9="", "", IFERROR(($I9 * Premissas!$B$5) + ($E9 * ($I9/$B9) * Premissas!$B$4 * 12), 0))</f>
        <v>71377.5433</v>
      </c>
      <c r="AJ9" s="44">
        <f>IF($A9="", "", $AI9 * Premissas!$B$12)</f>
        <v>5710.203464</v>
      </c>
      <c r="AK9" s="44">
        <f t="shared" si="10"/>
        <v>37649.01459</v>
      </c>
      <c r="AL9" s="44">
        <f t="shared" si="12"/>
        <v>146470.3077</v>
      </c>
      <c r="AM9" s="45">
        <f>IF($A9="", "", $B9 * 'Taxas de pagamento'!$B$12 + $AI9 * 'Taxas de pagamento'!$C$13)</f>
        <v>757.3260585</v>
      </c>
    </row>
    <row r="10">
      <c r="A10" s="5" t="s">
        <v>150</v>
      </c>
      <c r="B10" s="5">
        <f t="shared" si="11"/>
        <v>135</v>
      </c>
      <c r="C10" s="5">
        <f>ROUND(B9*Premissas!$B$2, 0)</f>
        <v>3</v>
      </c>
      <c r="D10" s="5">
        <v>25.0</v>
      </c>
      <c r="E10" s="5">
        <f t="shared" si="1"/>
        <v>28</v>
      </c>
      <c r="F10" s="7">
        <f>B10*Premissas!$B$3</f>
        <v>44820</v>
      </c>
      <c r="G10" s="7">
        <f t="array" ref="G10">IF(DATE(RIGHT(A10, 4), MATCH(LEFT(A10, 3), {"Jan","Feb","Mar","Apr","May","Jun","Jul","Aug","Sep","Oct","Nov","Dec"}, 0), 1) &gt;= Aluguel!$G$2, B10 * Aluguel!$B$2 * Aluguel!$E$2, 0)</f>
        <v>8100</v>
      </c>
      <c r="H10" s="7">
        <f t="array" ref="H10">SUMPRODUCT('Pacotes adicionais'!$C$2:$C$5, 'Pacotes adicionais'!$D$2:$D$5, --(DATE(RIGHT(A10, 4), MATCH(LEFT(A10, 3), {"Jan","Feb","Mar","Apr","May","Jun","Jul","Aug","Sep","Oct","Nov","Dec"}, 0), 1) &gt;= 'Pacotes adicionais'!$F$2:$F$5)) * B10</f>
        <v>1275.5475</v>
      </c>
      <c r="I10" s="7">
        <f t="shared" si="2"/>
        <v>54195.5475</v>
      </c>
      <c r="J10" s="7">
        <f t="shared" si="3"/>
        <v>42954.9895</v>
      </c>
      <c r="K10" s="18">
        <f>IF($A10="", "", IFERROR($E10 * ($I10/$B10) * Premissas!$B$6, 0))</f>
        <v>5620.279</v>
      </c>
      <c r="L10" s="18">
        <f>IF($A10="", "", IFERROR(($E10 * Premissas!$B$4 * ($I10/$B10) + $E9 * Premissas!$B$5 * ($I9/$B9)) * Premissas!$B$7, 0))</f>
        <v>5620.279</v>
      </c>
      <c r="M10" s="5">
        <f>E10*'Aquisição'!$B$2</f>
        <v>16.8</v>
      </c>
      <c r="N10" s="7">
        <v>190.0</v>
      </c>
      <c r="O10" s="7">
        <f t="shared" si="4"/>
        <v>3192</v>
      </c>
      <c r="P10" s="5">
        <f>E10*'Aquisição'!$B$3</f>
        <v>7</v>
      </c>
      <c r="Q10" s="5">
        <f>P10/Premissas!$B$9</f>
        <v>350</v>
      </c>
      <c r="R10" s="7">
        <f>Q10*Premissas!$B$8</f>
        <v>175</v>
      </c>
      <c r="S10" s="5">
        <f>E10*'Aquisição'!$B$4</f>
        <v>4.2</v>
      </c>
      <c r="T10" s="7">
        <f>S10*Premissas!$B$3*Premissas!$B$13</f>
        <v>1115.52</v>
      </c>
      <c r="U10" s="7">
        <f>SUM($S$2:$S10)*(1-Premissas!$B$2)^(ROW()-2)*Premissas!$B$3*Premissas!$B$10</f>
        <v>569.8441218</v>
      </c>
      <c r="V10" s="7">
        <f>IF($B10&gt;='Equipe e Remuneração'!$D$6, 'Equipe e Remuneração'!$C$6, 0)</f>
        <v>2500</v>
      </c>
      <c r="W10" s="7">
        <f>IF($B10&gt;='Equipe e Remuneração'!$D$3, 'Equipe e Remuneração'!$C$3, 0)</f>
        <v>2000</v>
      </c>
      <c r="X10" s="7">
        <f>IF($B10&gt;='Equipe e Remuneração'!$D$5, 'Equipe e Remuneração'!$C$5, 0)</f>
        <v>3000</v>
      </c>
      <c r="Y10" s="7">
        <f>IF($B10&gt;='Equipe e Remuneração'!$D$7, 'Equipe e Remuneração'!$C$7, 0)</f>
        <v>1500</v>
      </c>
      <c r="Z10" s="7">
        <f>IF($B10&gt;='Equipe e Remuneração'!$D$9+120, 'Equipe e Remuneração'!$C$9*3, IF($B10&gt;='Equipe e Remuneração'!$D$9+60, 'Equipe e Remuneração'!$C$9*2, IF($B10&gt;='Equipe e Remuneração'!$D$9, 'Equipe e Remuneração'!$C$9, 0)))</f>
        <v>0</v>
      </c>
      <c r="AA10" s="7">
        <f>IF($B10&gt;='Equipe e Remuneração'!$D$10+120, 'Equipe e Remuneração'!$C$10+2000, IF($B10&gt;='Equipe e Remuneração'!$D$10+60, 'Equipe e Remuneração'!$C$10+1000, IF($B10&gt;='Equipe e Remuneração'!$D$10, 'Equipe e Remuneração'!$C$10, 0)))</f>
        <v>0</v>
      </c>
      <c r="AB10" s="7">
        <f>IF($B10&gt;='Equipe e Remuneração'!$D$8*2, 'Equipe e Remuneração'!$C$8*2, IF($B10&gt;='Equipe e Remuneração'!$D$8, 'Equipe e Remuneração'!$C$8, 0))</f>
        <v>1000</v>
      </c>
      <c r="AC10" s="7">
        <f t="shared" si="5"/>
        <v>0</v>
      </c>
      <c r="AD10" s="7">
        <f t="shared" si="6"/>
        <v>1000</v>
      </c>
      <c r="AE10" s="7">
        <f t="shared" si="7"/>
        <v>906.16</v>
      </c>
      <c r="AF10" s="7">
        <f>F10*Premissas!$B$12</f>
        <v>3585.6</v>
      </c>
      <c r="AG10" s="7">
        <f t="shared" si="8"/>
        <v>25143.16943</v>
      </c>
      <c r="AH10" s="7">
        <f t="shared" si="9"/>
        <v>21557.56943</v>
      </c>
      <c r="AI10" s="18">
        <f>IF($A10="", "", IFERROR(($I10 * Premissas!$B$5) + ($E10 * ($I10/$B10) * Premissas!$B$4 * 12), 0))</f>
        <v>78402.89205</v>
      </c>
      <c r="AJ10" s="18">
        <f>IF($A10="", "", $AI10 * Premissas!$B$12)</f>
        <v>6272.231364</v>
      </c>
      <c r="AK10" s="18">
        <f t="shared" si="10"/>
        <v>43078.28262</v>
      </c>
      <c r="AL10" s="18">
        <f t="shared" si="12"/>
        <v>189548.5903</v>
      </c>
      <c r="AM10" s="34">
        <f>IF($A10="", "", $B10 * 'Taxas de pagamento'!$B$12 + $AI10 * 'Taxas de pagamento'!$C$13)</f>
        <v>853.2959462</v>
      </c>
    </row>
    <row r="11">
      <c r="A11" s="41" t="s">
        <v>151</v>
      </c>
      <c r="B11" s="41">
        <f t="shared" si="11"/>
        <v>160</v>
      </c>
      <c r="C11" s="41">
        <f>ROUND(B10*Premissas!$B$2, 0)</f>
        <v>4</v>
      </c>
      <c r="D11" s="41">
        <v>25.0</v>
      </c>
      <c r="E11" s="41">
        <f t="shared" si="1"/>
        <v>29</v>
      </c>
      <c r="F11" s="42">
        <f>B11*Premissas!$B$3</f>
        <v>53120</v>
      </c>
      <c r="G11" s="42">
        <f t="array" ref="G11">IF(DATE(RIGHT(A11, 4), MATCH(LEFT(A11, 3), {"Jan","Feb","Mar","Apr","May","Jun","Jul","Aug","Sep","Oct","Nov","Dec"}, 0), 1) &gt;= Aluguel!$G$2, B11 * Aluguel!$B$2 * Aluguel!$E$2, 0)</f>
        <v>9600</v>
      </c>
      <c r="H11" s="42">
        <f t="array" ref="H11">SUMPRODUCT('Pacotes adicionais'!$C$2:$C$5, 'Pacotes adicionais'!$D$2:$D$5, --(DATE(RIGHT(A11, 4), MATCH(LEFT(A11, 3), {"Jan","Feb","Mar","Apr","May","Jun","Jul","Aug","Sep","Oct","Nov","Dec"}, 0), 1) &gt;= 'Pacotes adicionais'!$F$2:$F$5)) * B11</f>
        <v>1511.76</v>
      </c>
      <c r="I11" s="42">
        <f t="shared" si="2"/>
        <v>64231.76</v>
      </c>
      <c r="J11" s="42">
        <f t="shared" si="3"/>
        <v>52730.26048</v>
      </c>
      <c r="K11" s="43">
        <f>IF($A11="", "", IFERROR($E11 * ($I11/$B11) * Premissas!$B$6, 0))</f>
        <v>5821.00325</v>
      </c>
      <c r="L11" s="43">
        <f>IF($A11="", "", IFERROR(($E11 * Premissas!$B$4 * ($I11/$B11) + $E10 * Premissas!$B$5 * ($I10/$B10)) * Premissas!$B$7, 0))</f>
        <v>5680.496275</v>
      </c>
      <c r="M11" s="41">
        <f>E11*'Aquisição'!$B$2</f>
        <v>17.4</v>
      </c>
      <c r="N11" s="42">
        <v>180.0</v>
      </c>
      <c r="O11" s="42">
        <f t="shared" si="4"/>
        <v>3132</v>
      </c>
      <c r="P11" s="41">
        <f>E11*'Aquisição'!$B$3</f>
        <v>7.25</v>
      </c>
      <c r="Q11" s="41">
        <f>P11/Premissas!$B$9</f>
        <v>362.5</v>
      </c>
      <c r="R11" s="42">
        <f>Q11*Premissas!$B$8</f>
        <v>181.25</v>
      </c>
      <c r="S11" s="41">
        <f>E11*'Aquisição'!$B$4</f>
        <v>4.35</v>
      </c>
      <c r="T11" s="42">
        <f>S11*Premissas!$B$3*Premissas!$B$13</f>
        <v>1155.36</v>
      </c>
      <c r="U11" s="42">
        <f>SUM($S$2:$S11)*(1-Premissas!$B$2)^(ROW()-2)*Premissas!$B$3*Premissas!$B$10</f>
        <v>662.5413676</v>
      </c>
      <c r="V11" s="42">
        <f>IF($B11&gt;='Equipe e Remuneração'!$D$6, 'Equipe e Remuneração'!$C$6, 0)</f>
        <v>2500</v>
      </c>
      <c r="W11" s="42">
        <f>IF($B11&gt;='Equipe e Remuneração'!$D$3, 'Equipe e Remuneração'!$C$3, 0)</f>
        <v>2000</v>
      </c>
      <c r="X11" s="42">
        <f>IF($B11&gt;='Equipe e Remuneração'!$D$5, 'Equipe e Remuneração'!$C$5, 0)</f>
        <v>3000</v>
      </c>
      <c r="Y11" s="42">
        <f>IF($B11&gt;='Equipe e Remuneração'!$D$7, 'Equipe e Remuneração'!$C$7, 0)</f>
        <v>1500</v>
      </c>
      <c r="Z11" s="42">
        <f>IF($B11&gt;='Equipe e Remuneração'!$D$9+120, 'Equipe e Remuneração'!$C$9*3, IF($B11&gt;='Equipe e Remuneração'!$D$9+60, 'Equipe e Remuneração'!$C$9*2, IF($B11&gt;='Equipe e Remuneração'!$D$9, 'Equipe e Remuneração'!$C$9, 0)))</f>
        <v>2610</v>
      </c>
      <c r="AA11" s="42">
        <f>IF($B11&gt;='Equipe e Remuneração'!$D$10+120, 'Equipe e Remuneração'!$C$10+2000, IF($B11&gt;='Equipe e Remuneração'!$D$10+60, 'Equipe e Remuneração'!$C$10+1000, IF($B11&gt;='Equipe e Remuneração'!$D$10, 'Equipe e Remuneração'!$C$10, 0)))</f>
        <v>1500</v>
      </c>
      <c r="AB11" s="42">
        <f>IF($B11&gt;='Equipe e Remuneração'!$D$8*2, 'Equipe e Remuneração'!$C$8*2, IF($B11&gt;='Equipe e Remuneração'!$D$8, 'Equipe e Remuneração'!$C$8, 0))</f>
        <v>1000</v>
      </c>
      <c r="AC11" s="42">
        <f t="shared" si="5"/>
        <v>1500</v>
      </c>
      <c r="AD11" s="42">
        <f t="shared" si="6"/>
        <v>1000</v>
      </c>
      <c r="AE11" s="42">
        <f t="shared" si="7"/>
        <v>1132.7</v>
      </c>
      <c r="AF11" s="42">
        <f>F11*Premissas!$B$12</f>
        <v>4249.6</v>
      </c>
      <c r="AG11" s="42">
        <f t="shared" si="8"/>
        <v>28895.1769</v>
      </c>
      <c r="AH11" s="42">
        <f t="shared" si="9"/>
        <v>24645.5769</v>
      </c>
      <c r="AI11" s="44">
        <f>IF($A11="", "", IFERROR(($I11 * Premissas!$B$5) + ($E11 * ($I11/$B11) * Premissas!$B$4 * 12), 0))</f>
        <v>86873.4554</v>
      </c>
      <c r="AJ11" s="44">
        <f>IF($A11="", "", $AI11 * Premissas!$B$12)</f>
        <v>6949.876432</v>
      </c>
      <c r="AK11" s="44">
        <f t="shared" si="10"/>
        <v>44586.99586</v>
      </c>
      <c r="AL11" s="44">
        <f t="shared" si="12"/>
        <v>234135.5862</v>
      </c>
      <c r="AM11" s="45">
        <f>IF($A11="", "", $B11 * 'Taxas de pagamento'!$B$12 + $AI11 * 'Taxas de pagamento'!$C$13)</f>
        <v>961.2322107</v>
      </c>
    </row>
    <row r="12">
      <c r="A12" s="5" t="s">
        <v>152</v>
      </c>
      <c r="B12" s="5">
        <f t="shared" si="11"/>
        <v>190</v>
      </c>
      <c r="C12" s="5">
        <f>ROUND(B11*Premissas!$B$2, 0)</f>
        <v>5</v>
      </c>
      <c r="D12" s="5">
        <v>30.0</v>
      </c>
      <c r="E12" s="5">
        <f t="shared" si="1"/>
        <v>35</v>
      </c>
      <c r="F12" s="7">
        <f>B12*Premissas!$B$3</f>
        <v>63080</v>
      </c>
      <c r="G12" s="7">
        <f t="array" ref="G12">IF(DATE(RIGHT(A12, 4), MATCH(LEFT(A12, 3), {"Jan","Feb","Mar","Apr","May","Jun","Jul","Aug","Sep","Oct","Nov","Dec"}, 0), 1) &gt;= Aluguel!$G$2, B12 * Aluguel!$B$2 * Aluguel!$E$2, 0)</f>
        <v>11400</v>
      </c>
      <c r="H12" s="7">
        <f t="array" ref="H12">SUMPRODUCT('Pacotes adicionais'!$C$2:$C$5, 'Pacotes adicionais'!$D$2:$D$5, --(DATE(RIGHT(A12, 4), MATCH(LEFT(A12, 3), {"Jan","Feb","Mar","Apr","May","Jun","Jul","Aug","Sep","Oct","Nov","Dec"}, 0), 1) &gt;= 'Pacotes adicionais'!$F$2:$F$5)) * B12</f>
        <v>1795.215</v>
      </c>
      <c r="I12" s="7">
        <f t="shared" si="2"/>
        <v>76275.215</v>
      </c>
      <c r="J12" s="7">
        <f t="shared" si="3"/>
        <v>63067.55935</v>
      </c>
      <c r="K12" s="18">
        <f>IF($A12="", "", IFERROR($E12 * ($I12/$B12) * Premissas!$B$6, 0))</f>
        <v>7025.34875</v>
      </c>
      <c r="L12" s="18">
        <f>IF($A12="", "", IFERROR(($E12 * Premissas!$B$4 * ($I12/$B12) + $E11 * Premissas!$B$5 * ($I11/$B11)) * Premissas!$B$7, 0))</f>
        <v>6182.3069</v>
      </c>
      <c r="M12" s="5">
        <f>E12*'Aquisição'!$B$2</f>
        <v>21</v>
      </c>
      <c r="N12" s="7">
        <v>180.0</v>
      </c>
      <c r="O12" s="7">
        <f t="shared" si="4"/>
        <v>3780</v>
      </c>
      <c r="P12" s="5">
        <f>E12*'Aquisição'!$B$3</f>
        <v>8.75</v>
      </c>
      <c r="Q12" s="5">
        <f>P12/Premissas!$B$9</f>
        <v>437.5</v>
      </c>
      <c r="R12" s="7">
        <f>Q12*Premissas!$B$8</f>
        <v>218.75</v>
      </c>
      <c r="S12" s="5">
        <f>E12*'Aquisição'!$B$4</f>
        <v>5.25</v>
      </c>
      <c r="T12" s="7">
        <f>S12*Premissas!$B$3*Premissas!$B$13</f>
        <v>1394.4</v>
      </c>
      <c r="U12" s="7">
        <f>SUM($S$2:$S12)*(1-Premissas!$B$2)^(ROW()-2)*Premissas!$B$3*Premissas!$B$10</f>
        <v>771.1981519</v>
      </c>
      <c r="V12" s="7">
        <f>IF($B12&gt;='Equipe e Remuneração'!$D$6, 'Equipe e Remuneração'!$C$6, 0)</f>
        <v>2500</v>
      </c>
      <c r="W12" s="7">
        <f>IF($B12&gt;='Equipe e Remuneração'!$D$3, 'Equipe e Remuneração'!$C$3, 0)</f>
        <v>2000</v>
      </c>
      <c r="X12" s="7">
        <f>IF($B12&gt;='Equipe e Remuneração'!$D$5, 'Equipe e Remuneração'!$C$5, 0)</f>
        <v>3000</v>
      </c>
      <c r="Y12" s="7">
        <f>IF($B12&gt;='Equipe e Remuneração'!$D$7, 'Equipe e Remuneração'!$C$7, 0)</f>
        <v>1500</v>
      </c>
      <c r="Z12" s="7">
        <f>IF($B12&gt;='Equipe e Remuneração'!$D$9+120, 'Equipe e Remuneração'!$C$9*3, IF($B12&gt;='Equipe e Remuneração'!$D$9+60, 'Equipe e Remuneração'!$C$9*2, IF($B12&gt;='Equipe e Remuneração'!$D$9, 'Equipe e Remuneração'!$C$9, 0)))</f>
        <v>2610</v>
      </c>
      <c r="AA12" s="7">
        <f>IF($B12&gt;='Equipe e Remuneração'!$D$10+120, 'Equipe e Remuneração'!$C$10+2000, IF($B12&gt;='Equipe e Remuneração'!$D$10+60, 'Equipe e Remuneração'!$C$10+1000, IF($B12&gt;='Equipe e Remuneração'!$D$10, 'Equipe e Remuneração'!$C$10, 0)))</f>
        <v>1500</v>
      </c>
      <c r="AB12" s="7">
        <f>IF($B12&gt;='Equipe e Remuneração'!$D$8*2, 'Equipe e Remuneração'!$C$8*2, IF($B12&gt;='Equipe e Remuneração'!$D$8, 'Equipe e Remuneração'!$C$8, 0))</f>
        <v>1000</v>
      </c>
      <c r="AC12" s="7">
        <f t="shared" si="5"/>
        <v>1500</v>
      </c>
      <c r="AD12" s="7">
        <f t="shared" si="6"/>
        <v>1500</v>
      </c>
      <c r="AE12" s="7">
        <f t="shared" si="7"/>
        <v>1132.7</v>
      </c>
      <c r="AF12" s="7">
        <f>F12*Premissas!$B$12</f>
        <v>5046.4</v>
      </c>
      <c r="AG12" s="7">
        <f t="shared" si="8"/>
        <v>37512.31686</v>
      </c>
      <c r="AH12" s="7">
        <f t="shared" si="9"/>
        <v>32465.91686</v>
      </c>
      <c r="AI12" s="18">
        <f>IF($A12="", "", IFERROR(($I12 * Premissas!$B$5) + ($E12 * ($I12/$B12) * Premissas!$B$4 * 12), 0))</f>
        <v>103975.1615</v>
      </c>
      <c r="AJ12" s="18">
        <f>IF($A12="", "", $AI12 * Premissas!$B$12)</f>
        <v>8318.01292</v>
      </c>
      <c r="AK12" s="18">
        <f t="shared" si="10"/>
        <v>56894.25044</v>
      </c>
      <c r="AL12" s="18">
        <f t="shared" si="12"/>
        <v>291029.8366</v>
      </c>
      <c r="AM12" s="34">
        <f>IF($A12="", "", $B12 * 'Taxas de pagamento'!$B$12 + $AI12 * 'Taxas de pagamento'!$C$13)</f>
        <v>1148.194337</v>
      </c>
    </row>
    <row r="13">
      <c r="A13" s="41" t="s">
        <v>154</v>
      </c>
      <c r="B13" s="41">
        <f t="shared" si="11"/>
        <v>220</v>
      </c>
      <c r="C13" s="41">
        <f>ROUND(B12*Premissas!$B$2, 0)</f>
        <v>6</v>
      </c>
      <c r="D13" s="41">
        <v>30.0</v>
      </c>
      <c r="E13" s="41">
        <f t="shared" si="1"/>
        <v>36</v>
      </c>
      <c r="F13" s="42">
        <f>B13*Premissas!$B$3</f>
        <v>73040</v>
      </c>
      <c r="G13" s="42">
        <f t="array" ref="G13">IF(DATE(RIGHT(A13, 4), MATCH(LEFT(A13, 3), {"Jan","Feb","Mar","Apr","May","Jun","Jul","Aug","Sep","Oct","Nov","Dec"}, 0), 1) &gt;= Aluguel!$G$2, B13 * Aluguel!$B$2 * Aluguel!$E$2, 0)</f>
        <v>13200</v>
      </c>
      <c r="H13" s="42">
        <f t="array" ref="H13">SUMPRODUCT('Pacotes adicionais'!$C$2:$C$5, 'Pacotes adicionais'!$D$2:$D$5, --(DATE(RIGHT(A13, 4), MATCH(LEFT(A13, 3), {"Jan","Feb","Mar","Apr","May","Jun","Jul","Aug","Sep","Oct","Nov","Dec"}, 0), 1) &gt;= 'Pacotes adicionais'!$F$2:$F$5)) * B13</f>
        <v>2078.67</v>
      </c>
      <c r="I13" s="42">
        <f t="shared" si="2"/>
        <v>88318.67</v>
      </c>
      <c r="J13" s="42">
        <f t="shared" si="3"/>
        <v>74007.03098</v>
      </c>
      <c r="K13" s="43">
        <f>IF($A13="", "", IFERROR($E13 * ($I13/$B13) * Premissas!$B$6, 0))</f>
        <v>7226.073</v>
      </c>
      <c r="L13" s="43">
        <f>IF($A13="", "", IFERROR(($E13 * Premissas!$B$4 * ($I13/$B13) + $E12 * Premissas!$B$5 * ($I12/$B12)) * Premissas!$B$7, 0))</f>
        <v>7085.566025</v>
      </c>
      <c r="M13" s="41">
        <f>E13*'Aquisição'!$B$2</f>
        <v>21.6</v>
      </c>
      <c r="N13" s="42">
        <v>170.0</v>
      </c>
      <c r="O13" s="42">
        <f t="shared" si="4"/>
        <v>3672</v>
      </c>
      <c r="P13" s="41">
        <f>E13*'Aquisição'!$B$3</f>
        <v>9</v>
      </c>
      <c r="Q13" s="41">
        <f>P13/Premissas!$B$9</f>
        <v>450</v>
      </c>
      <c r="R13" s="42">
        <f>Q13*Premissas!$B$8</f>
        <v>225</v>
      </c>
      <c r="S13" s="41">
        <f>E13*'Aquisição'!$B$4</f>
        <v>5.4</v>
      </c>
      <c r="T13" s="42">
        <f>S13*Premissas!$B$3*Premissas!$B$13</f>
        <v>1434.24</v>
      </c>
      <c r="U13" s="42">
        <f>SUM($S$2:$S13)*(1-Premissas!$B$2)^(ROW()-2)*Premissas!$B$3*Premissas!$B$10</f>
        <v>876.3014429</v>
      </c>
      <c r="V13" s="42">
        <f>IF($B13&gt;='Equipe e Remuneração'!$D$6, 'Equipe e Remuneração'!$C$6, 0)</f>
        <v>2500</v>
      </c>
      <c r="W13" s="42">
        <f>IF($B13&gt;='Equipe e Remuneração'!$D$3, 'Equipe e Remuneração'!$C$3, 0)</f>
        <v>2000</v>
      </c>
      <c r="X13" s="42">
        <f>IF($B13&gt;='Equipe e Remuneração'!$D$5, 'Equipe e Remuneração'!$C$5, 0)</f>
        <v>3000</v>
      </c>
      <c r="Y13" s="42">
        <f>IF($B13&gt;='Equipe e Remuneração'!$D$7, 'Equipe e Remuneração'!$C$7, 0)</f>
        <v>1500</v>
      </c>
      <c r="Z13" s="42">
        <f>IF($B13&gt;='Equipe e Remuneração'!$D$9+120, 'Equipe e Remuneração'!$C$9*3, IF($B13&gt;='Equipe e Remuneração'!$D$9+60, 'Equipe e Remuneração'!$C$9*2, IF($B13&gt;='Equipe e Remuneração'!$D$9, 'Equipe e Remuneração'!$C$9, 0)))</f>
        <v>5220</v>
      </c>
      <c r="AA13" s="42">
        <f>IF($B13&gt;='Equipe e Remuneração'!$D$10+120, 'Equipe e Remuneração'!$C$10+2000, IF($B13&gt;='Equipe e Remuneração'!$D$10+60, 'Equipe e Remuneração'!$C$10+1000, IF($B13&gt;='Equipe e Remuneração'!$D$10, 'Equipe e Remuneração'!$C$10, 0)))</f>
        <v>2500</v>
      </c>
      <c r="AB13" s="42">
        <f>IF($B13&gt;='Equipe e Remuneração'!$D$8*2, 'Equipe e Remuneração'!$C$8*2, IF($B13&gt;='Equipe e Remuneração'!$D$8, 'Equipe e Remuneração'!$C$8, 0))</f>
        <v>2000</v>
      </c>
      <c r="AC13" s="42">
        <f t="shared" si="5"/>
        <v>1500</v>
      </c>
      <c r="AD13" s="42">
        <f t="shared" si="6"/>
        <v>1500</v>
      </c>
      <c r="AE13" s="42">
        <f t="shared" si="7"/>
        <v>1132.7</v>
      </c>
      <c r="AF13" s="42">
        <f>F13*Premissas!$B$12</f>
        <v>5843.2</v>
      </c>
      <c r="AG13" s="42">
        <f t="shared" si="8"/>
        <v>43671.46495</v>
      </c>
      <c r="AH13" s="42">
        <f t="shared" si="9"/>
        <v>37828.26495</v>
      </c>
      <c r="AI13" s="44">
        <f>IF($A13="", "", IFERROR(($I13 * Premissas!$B$5) + ($E13 * ($I13/$B13) * Premissas!$B$4 * 12), 0))</f>
        <v>113850.7946</v>
      </c>
      <c r="AJ13" s="44">
        <f>IF($A13="", "", $AI13 * Premissas!$B$12)</f>
        <v>9108.063568</v>
      </c>
      <c r="AK13" s="44">
        <f t="shared" si="10"/>
        <v>60095.52598</v>
      </c>
      <c r="AL13" s="44">
        <f t="shared" si="12"/>
        <v>351125.3626</v>
      </c>
      <c r="AM13" s="45">
        <f>IF($A13="", "", $B13 * 'Taxas de pagamento'!$B$12 + $AI13 * 'Taxas de pagamento'!$C$13)</f>
        <v>1275.324579</v>
      </c>
    </row>
    <row r="14">
      <c r="A14" s="5" t="s">
        <v>155</v>
      </c>
      <c r="B14" s="5">
        <f t="shared" si="11"/>
        <v>250</v>
      </c>
      <c r="C14" s="5">
        <f>ROUND(B13*Premissas!$B$2, 0)</f>
        <v>7</v>
      </c>
      <c r="D14" s="5">
        <v>30.0</v>
      </c>
      <c r="E14" s="5">
        <f t="shared" si="1"/>
        <v>37</v>
      </c>
      <c r="F14" s="7">
        <f>B14*Premissas!$B$3</f>
        <v>83000</v>
      </c>
      <c r="G14" s="7">
        <f t="array" ref="G14">IF(DATE(RIGHT(A14, 4), MATCH(LEFT(A14, 3), {"Jan","Feb","Mar","Apr","May","Jun","Jul","Aug","Sep","Oct","Nov","Dec"}, 0), 1) &gt;= Aluguel!$G$2, B14 * Aluguel!$B$2 * Aluguel!$E$2, 0)</f>
        <v>15000</v>
      </c>
      <c r="H14" s="7">
        <f t="array" ref="H14">SUMPRODUCT('Pacotes adicionais'!$C$2:$C$5, 'Pacotes adicionais'!$D$2:$D$5, --(DATE(RIGHT(A14, 4), MATCH(LEFT(A14, 3), {"Jan","Feb","Mar","Apr","May","Jun","Jul","Aug","Sep","Oct","Nov","Dec"}, 0), 1) &gt;= 'Pacotes adicionais'!$F$2:$F$5)) * B14</f>
        <v>2362.125</v>
      </c>
      <c r="I14" s="7">
        <f t="shared" si="2"/>
        <v>100362.125</v>
      </c>
      <c r="J14" s="7">
        <f t="shared" si="3"/>
        <v>85649.03748</v>
      </c>
      <c r="K14" s="18">
        <f>IF($A14="", "", IFERROR($E14 * ($I14/$B14) * Premissas!$B$6, 0))</f>
        <v>7426.79725</v>
      </c>
      <c r="L14" s="18">
        <f>IF($A14="", "", IFERROR(($E14 * Premissas!$B$4 * ($I14/$B14) + $E13 * Premissas!$B$5 * ($I13/$B13)) * Premissas!$B$7, 0))</f>
        <v>7286.290275</v>
      </c>
      <c r="M14" s="5">
        <f>E14*'Aquisição'!$B$2</f>
        <v>22.2</v>
      </c>
      <c r="N14" s="7">
        <v>170.0</v>
      </c>
      <c r="O14" s="7">
        <f t="shared" si="4"/>
        <v>3774</v>
      </c>
      <c r="P14" s="5">
        <f>E14*'Aquisição'!$B$3</f>
        <v>9.25</v>
      </c>
      <c r="Q14" s="5">
        <f>P14/Premissas!$B$9</f>
        <v>462.5</v>
      </c>
      <c r="R14" s="7">
        <f>Q14*Premissas!$B$8</f>
        <v>231.25</v>
      </c>
      <c r="S14" s="5">
        <f>E14*'Aquisição'!$B$4</f>
        <v>5.55</v>
      </c>
      <c r="T14" s="7">
        <f>S14*Premissas!$B$3*Premissas!$B$13</f>
        <v>1474.08</v>
      </c>
      <c r="U14" s="7">
        <f>SUM($S$2:$S14)*(1-Premissas!$B$2)^(ROW()-2)*Premissas!$B$3*Premissas!$B$10</f>
        <v>977.859793</v>
      </c>
      <c r="V14" s="7">
        <f>IF($B14&gt;='Equipe e Remuneração'!$D$6, 'Equipe e Remuneração'!$C$6, 0)</f>
        <v>2500</v>
      </c>
      <c r="W14" s="7">
        <f>IF($B14&gt;='Equipe e Remuneração'!$D$3, 'Equipe e Remuneração'!$C$3, 0)</f>
        <v>2000</v>
      </c>
      <c r="X14" s="7">
        <f>IF($B14&gt;='Equipe e Remuneração'!$D$5, 'Equipe e Remuneração'!$C$5, 0)</f>
        <v>3000</v>
      </c>
      <c r="Y14" s="7">
        <f>IF($B14&gt;='Equipe e Remuneração'!$D$7, 'Equipe e Remuneração'!$C$7, 0)</f>
        <v>1500</v>
      </c>
      <c r="Z14" s="7">
        <f>IF($B14&gt;='Equipe e Remuneração'!$D$9+120, 'Equipe e Remuneração'!$C$9*3, IF($B14&gt;='Equipe e Remuneração'!$D$9+60, 'Equipe e Remuneração'!$C$9*2, IF($B14&gt;='Equipe e Remuneração'!$D$9, 'Equipe e Remuneração'!$C$9, 0)))</f>
        <v>5220</v>
      </c>
      <c r="AA14" s="7">
        <f>IF($B14&gt;='Equipe e Remuneração'!$D$10+120, 'Equipe e Remuneração'!$C$10+2000, IF($B14&gt;='Equipe e Remuneração'!$D$10+60, 'Equipe e Remuneração'!$C$10+1000, IF($B14&gt;='Equipe e Remuneração'!$D$10, 'Equipe e Remuneração'!$C$10, 0)))</f>
        <v>2500</v>
      </c>
      <c r="AB14" s="7">
        <f>IF($B14&gt;='Equipe e Remuneração'!$D$8*2, 'Equipe e Remuneração'!$C$8*2, IF($B14&gt;='Equipe e Remuneração'!$D$8, 'Equipe e Remuneração'!$C$8, 0))</f>
        <v>2000</v>
      </c>
      <c r="AC14" s="7">
        <f t="shared" si="5"/>
        <v>1500</v>
      </c>
      <c r="AD14" s="7">
        <f t="shared" si="6"/>
        <v>1500</v>
      </c>
      <c r="AE14" s="7">
        <f t="shared" si="7"/>
        <v>1132.7</v>
      </c>
      <c r="AF14" s="7">
        <f>F14*Premissas!$B$12</f>
        <v>6640</v>
      </c>
      <c r="AG14" s="7">
        <f t="shared" si="8"/>
        <v>54936.69286</v>
      </c>
      <c r="AH14" s="7">
        <f t="shared" si="9"/>
        <v>48296.69286</v>
      </c>
      <c r="AI14" s="18">
        <f>IF($A14="", "", IFERROR(($I14 * Premissas!$B$5) + ($E14 * ($I14/$B14) * Premissas!$B$4 * 12), 0))</f>
        <v>123726.4277</v>
      </c>
      <c r="AJ14" s="18">
        <f>IF($A14="", "", $AI14 * Premissas!$B$12)</f>
        <v>9898.114216</v>
      </c>
      <c r="AK14" s="18">
        <f t="shared" si="10"/>
        <v>68402.88134</v>
      </c>
      <c r="AL14" s="18">
        <f t="shared" si="12"/>
        <v>419528.244</v>
      </c>
      <c r="AM14" s="34">
        <f>IF($A14="", "", $B14 * 'Taxas de pagamento'!$B$12 + $AI14 * 'Taxas de pagamento'!$C$13)</f>
        <v>1402.454821</v>
      </c>
    </row>
    <row r="15">
      <c r="A15" s="41" t="s">
        <v>156</v>
      </c>
      <c r="B15" s="41">
        <f t="shared" si="11"/>
        <v>280</v>
      </c>
      <c r="C15" s="41">
        <f>ROUND(B14*Premissas!$B$2, 0)</f>
        <v>8</v>
      </c>
      <c r="D15" s="41">
        <v>30.0</v>
      </c>
      <c r="E15" s="41">
        <f t="shared" si="1"/>
        <v>38</v>
      </c>
      <c r="F15" s="42">
        <f>B15*Premissas!$B$3</f>
        <v>92960</v>
      </c>
      <c r="G15" s="42">
        <f t="array" ref="G15">IF(DATE(RIGHT(A15, 4), MATCH(LEFT(A15, 3), {"Jan","Feb","Mar","Apr","May","Jun","Jul","Aug","Sep","Oct","Nov","Dec"}, 0), 1) &gt;= Aluguel!$G$2, B15 * Aluguel!$B$2 * Aluguel!$E$2, 0)</f>
        <v>16800</v>
      </c>
      <c r="H15" s="42">
        <f t="array" ref="H15">SUMPRODUCT('Pacotes adicionais'!$C$2:$C$5, 'Pacotes adicionais'!$D$2:$D$5, --(DATE(RIGHT(A15, 4), MATCH(LEFT(A15, 3), {"Jan","Feb","Mar","Apr","May","Jun","Jul","Aug","Sep","Oct","Nov","Dec"}, 0), 1) &gt;= 'Pacotes adicionais'!$F$2:$F$5)) * B15</f>
        <v>2645.58</v>
      </c>
      <c r="I15" s="42">
        <f t="shared" si="2"/>
        <v>112405.58</v>
      </c>
      <c r="J15" s="42">
        <f t="shared" si="3"/>
        <v>97291.04398</v>
      </c>
      <c r="K15" s="43">
        <f>IF($A15="", "", IFERROR($E15 * ($I15/$B15) * Premissas!$B$6, 0))</f>
        <v>7627.5215</v>
      </c>
      <c r="L15" s="43">
        <f>IF($A15="", "", IFERROR(($E15 * Premissas!$B$4 * ($I15/$B15) + $E14 * Premissas!$B$5 * ($I14/$B14)) * Premissas!$B$7, 0))</f>
        <v>7487.014525</v>
      </c>
      <c r="M15" s="41">
        <f>E15*'Aquisição'!$B$2</f>
        <v>22.8</v>
      </c>
      <c r="N15" s="42">
        <v>165.0</v>
      </c>
      <c r="O15" s="42">
        <f t="shared" si="4"/>
        <v>3762</v>
      </c>
      <c r="P15" s="41">
        <f>E15*'Aquisição'!$B$3</f>
        <v>9.5</v>
      </c>
      <c r="Q15" s="41">
        <f>P15/Premissas!$B$9</f>
        <v>475</v>
      </c>
      <c r="R15" s="42">
        <f>Q15*Premissas!$B$8</f>
        <v>237.5</v>
      </c>
      <c r="S15" s="41">
        <f>E15*'Aquisição'!$B$4</f>
        <v>5.7</v>
      </c>
      <c r="T15" s="42">
        <f>S15*Premissas!$B$3*Premissas!$B$13</f>
        <v>1513.92</v>
      </c>
      <c r="U15" s="42">
        <f>SUM($S$2:$S15)*(1-Premissas!$B$2)^(ROW()-2)*Premissas!$B$3*Premissas!$B$10</f>
        <v>1075.887646</v>
      </c>
      <c r="V15" s="42">
        <f>IF($B15&gt;='Equipe e Remuneração'!$D$6, 'Equipe e Remuneração'!$C$6, 0)</f>
        <v>2500</v>
      </c>
      <c r="W15" s="42">
        <f>IF($B15&gt;='Equipe e Remuneração'!$D$3, 'Equipe e Remuneração'!$C$3, 0)</f>
        <v>2000</v>
      </c>
      <c r="X15" s="42">
        <f>IF($B15&gt;='Equipe e Remuneração'!$D$5, 'Equipe e Remuneração'!$C$5, 0)</f>
        <v>3000</v>
      </c>
      <c r="Y15" s="42">
        <f>IF($B15&gt;='Equipe e Remuneração'!$D$7, 'Equipe e Remuneração'!$C$7, 0)</f>
        <v>1500</v>
      </c>
      <c r="Z15" s="42">
        <f>IF($B15&gt;='Equipe e Remuneração'!$D$9+120, 'Equipe e Remuneração'!$C$9*3, IF($B15&gt;='Equipe e Remuneração'!$D$9+60, 'Equipe e Remuneração'!$C$9*2, IF($B15&gt;='Equipe e Remuneração'!$D$9, 'Equipe e Remuneração'!$C$9, 0)))</f>
        <v>7830</v>
      </c>
      <c r="AA15" s="42">
        <f>IF($B15&gt;='Equipe e Remuneração'!$D$10+120, 'Equipe e Remuneração'!$C$10+2000, IF($B15&gt;='Equipe e Remuneração'!$D$10+60, 'Equipe e Remuneração'!$C$10+1000, IF($B15&gt;='Equipe e Remuneração'!$D$10, 'Equipe e Remuneração'!$C$10, 0)))</f>
        <v>3500</v>
      </c>
      <c r="AB15" s="42">
        <f>IF($B15&gt;='Equipe e Remuneração'!$D$8*2, 'Equipe e Remuneração'!$C$8*2, IF($B15&gt;='Equipe e Remuneração'!$D$8, 'Equipe e Remuneração'!$C$8, 0))</f>
        <v>2000</v>
      </c>
      <c r="AC15" s="42">
        <f t="shared" si="5"/>
        <v>2500</v>
      </c>
      <c r="AD15" s="42">
        <f t="shared" si="6"/>
        <v>1500</v>
      </c>
      <c r="AE15" s="42">
        <f t="shared" si="7"/>
        <v>1359.24</v>
      </c>
      <c r="AF15" s="42">
        <f>F15*Premissas!$B$12</f>
        <v>7436.8</v>
      </c>
      <c r="AG15" s="42">
        <f t="shared" si="8"/>
        <v>61482.91127</v>
      </c>
      <c r="AH15" s="42">
        <f t="shared" si="9"/>
        <v>54046.11127</v>
      </c>
      <c r="AI15" s="44">
        <f>IF($A15="", "", IFERROR(($I15 * Premissas!$B$5) + ($E15 * ($I15/$B15) * Premissas!$B$4 * 12), 0))</f>
        <v>133602.0608</v>
      </c>
      <c r="AJ15" s="44">
        <f>IF($A15="", "", $AI15 * Premissas!$B$12)</f>
        <v>10688.16486</v>
      </c>
      <c r="AK15" s="44">
        <f t="shared" si="10"/>
        <v>71991.2272</v>
      </c>
      <c r="AL15" s="44">
        <f t="shared" si="12"/>
        <v>491519.4712</v>
      </c>
      <c r="AM15" s="45">
        <f>IF($A15="", "", $B15 * 'Taxas de pagamento'!$B$12 + $AI15 * 'Taxas de pagamento'!$C$13)</f>
        <v>1529.585063</v>
      </c>
    </row>
    <row r="16">
      <c r="A16" s="5" t="s">
        <v>157</v>
      </c>
      <c r="B16" s="5">
        <f t="shared" si="11"/>
        <v>310</v>
      </c>
      <c r="C16" s="5">
        <f>ROUND(B15*Premissas!$B$2, 0)</f>
        <v>8</v>
      </c>
      <c r="D16" s="5">
        <v>30.0</v>
      </c>
      <c r="E16" s="5">
        <f t="shared" si="1"/>
        <v>38</v>
      </c>
      <c r="F16" s="7">
        <f>B16*Premissas!$B$3</f>
        <v>102920</v>
      </c>
      <c r="G16" s="7">
        <f t="array" ref="G16">IF(DATE(RIGHT(A16, 4), MATCH(LEFT(A16, 3), {"Jan","Feb","Mar","Apr","May","Jun","Jul","Aug","Sep","Oct","Nov","Dec"}, 0), 1) &gt;= Aluguel!$G$2, B16 * Aluguel!$B$2 * Aluguel!$E$2, 0)</f>
        <v>18600</v>
      </c>
      <c r="H16" s="7">
        <f t="array" ref="H16">SUMPRODUCT('Pacotes adicionais'!$C$2:$C$5, 'Pacotes adicionais'!$D$2:$D$5, --(DATE(RIGHT(A16, 4), MATCH(LEFT(A16, 3), {"Jan","Feb","Mar","Apr","May","Jun","Jul","Aug","Sep","Oct","Nov","Dec"}, 0), 1) &gt;= 'Pacotes adicionais'!$F$2:$F$5)) * B16</f>
        <v>2929.035</v>
      </c>
      <c r="I16" s="7">
        <f t="shared" si="2"/>
        <v>124449.035</v>
      </c>
      <c r="J16" s="7">
        <f t="shared" si="3"/>
        <v>109193.992</v>
      </c>
      <c r="K16" s="18">
        <f>IF($A16="", "", IFERROR($E16 * ($I16/$B16) * Premissas!$B$6, 0))</f>
        <v>7627.5215</v>
      </c>
      <c r="L16" s="18">
        <f>IF($A16="", "", IFERROR(($E16 * Premissas!$B$4 * ($I16/$B16) + $E15 * Premissas!$B$5 * ($I15/$B15)) * Premissas!$B$7, 0))</f>
        <v>7627.5215</v>
      </c>
      <c r="M16" s="5">
        <f>E16*'Aquisição'!$B$2</f>
        <v>22.8</v>
      </c>
      <c r="N16" s="7">
        <v>160.0</v>
      </c>
      <c r="O16" s="7">
        <f t="shared" si="4"/>
        <v>3648</v>
      </c>
      <c r="P16" s="5">
        <f>E16*'Aquisição'!$B$3</f>
        <v>9.5</v>
      </c>
      <c r="Q16" s="5">
        <f>P16/Premissas!$B$9</f>
        <v>475</v>
      </c>
      <c r="R16" s="7">
        <f>Q16*Premissas!$B$8</f>
        <v>237.5</v>
      </c>
      <c r="S16" s="5">
        <f>E16*'Aquisição'!$B$4</f>
        <v>5.7</v>
      </c>
      <c r="T16" s="7">
        <f>S16*Premissas!$B$3*Premissas!$B$13</f>
        <v>1513.92</v>
      </c>
      <c r="U16" s="7">
        <f>SUM($S$2:$S16)*(1-Premissas!$B$2)^(ROW()-2)*Premissas!$B$3*Premissas!$B$10</f>
        <v>1167.153754</v>
      </c>
      <c r="V16" s="7">
        <f>IF($B16&gt;='Equipe e Remuneração'!$D$6, 'Equipe e Remuneração'!$C$6, 0)</f>
        <v>2500</v>
      </c>
      <c r="W16" s="7">
        <f>IF($B16&gt;='Equipe e Remuneração'!$D$3, 'Equipe e Remuneração'!$C$3, 0)</f>
        <v>2000</v>
      </c>
      <c r="X16" s="7">
        <f>IF($B16&gt;='Equipe e Remuneração'!$D$5, 'Equipe e Remuneração'!$C$5, 0)</f>
        <v>3000</v>
      </c>
      <c r="Y16" s="7">
        <f>IF($B16&gt;='Equipe e Remuneração'!$D$7, 'Equipe e Remuneração'!$C$7, 0)</f>
        <v>1500</v>
      </c>
      <c r="Z16" s="7">
        <f>IF($B16&gt;='Equipe e Remuneração'!$D$9+120, 'Equipe e Remuneração'!$C$9*3, IF($B16&gt;='Equipe e Remuneração'!$D$9+60, 'Equipe e Remuneração'!$C$9*2, IF($B16&gt;='Equipe e Remuneração'!$D$9, 'Equipe e Remuneração'!$C$9, 0)))</f>
        <v>7830</v>
      </c>
      <c r="AA16" s="7">
        <f>IF($B16&gt;='Equipe e Remuneração'!$D$10+120, 'Equipe e Remuneração'!$C$10+2000, IF($B16&gt;='Equipe e Remuneração'!$D$10+60, 'Equipe e Remuneração'!$C$10+1000, IF($B16&gt;='Equipe e Remuneração'!$D$10, 'Equipe e Remuneração'!$C$10, 0)))</f>
        <v>3500</v>
      </c>
      <c r="AB16" s="7">
        <f>IF($B16&gt;='Equipe e Remuneração'!$D$8*2, 'Equipe e Remuneração'!$C$8*2, IF($B16&gt;='Equipe e Remuneração'!$D$8, 'Equipe e Remuneração'!$C$8, 0))</f>
        <v>2000</v>
      </c>
      <c r="AC16" s="7">
        <f t="shared" si="5"/>
        <v>2500</v>
      </c>
      <c r="AD16" s="7">
        <f t="shared" si="6"/>
        <v>1500</v>
      </c>
      <c r="AE16" s="7">
        <f t="shared" si="7"/>
        <v>1359.24</v>
      </c>
      <c r="AF16" s="7">
        <f>F16*Premissas!$B$12</f>
        <v>8233.6</v>
      </c>
      <c r="AG16" s="7">
        <f t="shared" si="8"/>
        <v>73293.42932</v>
      </c>
      <c r="AH16" s="7">
        <f t="shared" si="9"/>
        <v>65059.82932</v>
      </c>
      <c r="AI16" s="18">
        <f>IF($A16="", "", IFERROR(($I16 * Premissas!$B$5) + ($E16 * ($I16/$B16) * Premissas!$B$4 * 12), 0))</f>
        <v>142032.4793</v>
      </c>
      <c r="AJ16" s="18">
        <f>IF($A16="", "", $AI16 * Premissas!$B$12)</f>
        <v>11362.59834</v>
      </c>
      <c r="AK16" s="18">
        <f t="shared" si="10"/>
        <v>79514.27527</v>
      </c>
      <c r="AL16" s="18">
        <f t="shared" si="12"/>
        <v>571033.7464</v>
      </c>
      <c r="AM16" s="34">
        <f>IF($A16="", "", $B16 * 'Taxas de pagamento'!$B$12 + $AI16 * 'Taxas de pagamento'!$C$13)</f>
        <v>1644.748929</v>
      </c>
    </row>
    <row r="17">
      <c r="A17" s="41" t="s">
        <v>158</v>
      </c>
      <c r="B17" s="41">
        <f t="shared" si="11"/>
        <v>345</v>
      </c>
      <c r="C17" s="41">
        <f>ROUND(B16*Premissas!$B$2, 0)</f>
        <v>9</v>
      </c>
      <c r="D17" s="41">
        <v>35.0</v>
      </c>
      <c r="E17" s="41">
        <f t="shared" si="1"/>
        <v>44</v>
      </c>
      <c r="F17" s="42">
        <f>B17*Premissas!$B$3</f>
        <v>114540</v>
      </c>
      <c r="G17" s="42">
        <f t="array" ref="G17">IF(DATE(RIGHT(A17, 4), MATCH(LEFT(A17, 3), {"Jan","Feb","Mar","Apr","May","Jun","Jul","Aug","Sep","Oct","Nov","Dec"}, 0), 1) &gt;= Aluguel!$G$2, B17 * Aluguel!$B$2 * Aluguel!$E$2, 0)</f>
        <v>20700</v>
      </c>
      <c r="H17" s="42">
        <f t="array" ref="H17">SUMPRODUCT('Pacotes adicionais'!$C$2:$C$5, 'Pacotes adicionais'!$D$2:$D$5, --(DATE(RIGHT(A17, 4), MATCH(LEFT(A17, 3), {"Jan","Feb","Mar","Apr","May","Jun","Jul","Aug","Sep","Oct","Nov","Dec"}, 0), 1) &gt;= 'Pacotes adicionais'!$F$2:$F$5)) * B17</f>
        <v>3259.7325</v>
      </c>
      <c r="I17" s="42">
        <f t="shared" si="2"/>
        <v>138499.7325</v>
      </c>
      <c r="J17" s="42">
        <f t="shared" si="3"/>
        <v>121679.0404</v>
      </c>
      <c r="K17" s="43">
        <f>IF($A17="", "", IFERROR($E17 * ($I17/$B17) * Premissas!$B$6, 0))</f>
        <v>8831.867</v>
      </c>
      <c r="L17" s="43">
        <f>IF($A17="", "", IFERROR(($E17 * Premissas!$B$4 * ($I17/$B17) + $E16 * Premissas!$B$5 * ($I16/$B16)) * Premissas!$B$7, 0))</f>
        <v>7988.82515</v>
      </c>
      <c r="M17" s="41">
        <f>E17*'Aquisição'!$B$2</f>
        <v>26.4</v>
      </c>
      <c r="N17" s="42">
        <v>160.0</v>
      </c>
      <c r="O17" s="42">
        <f t="shared" si="4"/>
        <v>4224</v>
      </c>
      <c r="P17" s="41">
        <f>E17*'Aquisição'!$B$3</f>
        <v>11</v>
      </c>
      <c r="Q17" s="41">
        <f>P17/Premissas!$B$9</f>
        <v>550</v>
      </c>
      <c r="R17" s="42">
        <f>Q17*Premissas!$B$8</f>
        <v>275</v>
      </c>
      <c r="S17" s="41">
        <f>E17*'Aquisição'!$B$4</f>
        <v>6.6</v>
      </c>
      <c r="T17" s="42">
        <f>S17*Premissas!$B$3*Premissas!$B$13</f>
        <v>1752.96</v>
      </c>
      <c r="U17" s="42">
        <f>SUM($S$2:$S17)*(1-Premissas!$B$2)^(ROW()-2)*Premissas!$B$3*Premissas!$B$10</f>
        <v>1270.897142</v>
      </c>
      <c r="V17" s="42">
        <f>IF($B17&gt;='Equipe e Remuneração'!$D$6, 'Equipe e Remuneração'!$C$6, 0)</f>
        <v>2500</v>
      </c>
      <c r="W17" s="42">
        <f>IF($B17&gt;='Equipe e Remuneração'!$D$3, 'Equipe e Remuneração'!$C$3, 0)</f>
        <v>2000</v>
      </c>
      <c r="X17" s="42">
        <f>IF($B17&gt;='Equipe e Remuneração'!$D$5, 'Equipe e Remuneração'!$C$5, 0)</f>
        <v>3000</v>
      </c>
      <c r="Y17" s="42">
        <f>IF($B17&gt;='Equipe e Remuneração'!$D$7, 'Equipe e Remuneração'!$C$7, 0)</f>
        <v>1500</v>
      </c>
      <c r="Z17" s="42">
        <f>IF($B17&gt;='Equipe e Remuneração'!$D$9+120, 'Equipe e Remuneração'!$C$9*3, IF($B17&gt;='Equipe e Remuneração'!$D$9+60, 'Equipe e Remuneração'!$C$9*2, IF($B17&gt;='Equipe e Remuneração'!$D$9, 'Equipe e Remuneração'!$C$9, 0)))</f>
        <v>7830</v>
      </c>
      <c r="AA17" s="42">
        <f>IF($B17&gt;='Equipe e Remuneração'!$D$10+120, 'Equipe e Remuneração'!$C$10+2000, IF($B17&gt;='Equipe e Remuneração'!$D$10+60, 'Equipe e Remuneração'!$C$10+1000, IF($B17&gt;='Equipe e Remuneração'!$D$10, 'Equipe e Remuneração'!$C$10, 0)))</f>
        <v>3500</v>
      </c>
      <c r="AB17" s="42">
        <f>IF($B17&gt;='Equipe e Remuneração'!$D$8*2, 'Equipe e Remuneração'!$C$8*2, IF($B17&gt;='Equipe e Remuneração'!$D$8, 'Equipe e Remuneração'!$C$8, 0))</f>
        <v>2000</v>
      </c>
      <c r="AC17" s="42">
        <f t="shared" si="5"/>
        <v>2500</v>
      </c>
      <c r="AD17" s="42">
        <f t="shared" si="6"/>
        <v>1500</v>
      </c>
      <c r="AE17" s="42">
        <f t="shared" si="7"/>
        <v>1359.24</v>
      </c>
      <c r="AF17" s="42">
        <f>F17*Premissas!$B$12</f>
        <v>9163.2</v>
      </c>
      <c r="AG17" s="42">
        <f t="shared" si="8"/>
        <v>84616.03818</v>
      </c>
      <c r="AH17" s="42">
        <f t="shared" si="9"/>
        <v>75452.83818</v>
      </c>
      <c r="AI17" s="44">
        <f>IF($A17="", "", IFERROR(($I17 * Premissas!$B$5) + ($E17 * ($I17/$B17) * Premissas!$B$4 * 12), 0))</f>
        <v>160539.2552</v>
      </c>
      <c r="AJ17" s="44">
        <f>IF($A17="", "", $AI17 * Premissas!$B$12)</f>
        <v>12843.14041</v>
      </c>
      <c r="AK17" s="44">
        <f t="shared" si="10"/>
        <v>93812.42041</v>
      </c>
      <c r="AL17" s="44">
        <f t="shared" si="12"/>
        <v>664846.1668</v>
      </c>
      <c r="AM17" s="45">
        <f>IF($A17="", "", $B17 * 'Taxas de pagamento'!$B$12 + $AI17 * 'Taxas de pagamento'!$C$13)</f>
        <v>1850.905033</v>
      </c>
    </row>
    <row r="18">
      <c r="K18" s="47" t="str">
        <f>IF($A18="", "", IFERROR($E18 * ($I18/$B18) * Premissas!$B$6, 0))</f>
        <v/>
      </c>
      <c r="L18" s="47" t="str">
        <f>IF($A18="", "", IFERROR(($E18 * Premissas!$B$4 * ($I18/$B18) + $E17 * Premissas!$B$5 * ($I17/$B17)) * Premissas!$B$7, 0))</f>
        <v/>
      </c>
      <c r="AI18" s="47" t="str">
        <f>IF($A18="", "", IFERROR(($I18 * Premissas!$B$5) + ($E18 * ($I18/$B18) * Premissas!$B$4 * 12), 0))</f>
        <v/>
      </c>
      <c r="AJ18" s="47" t="str">
        <f>IF($A18="", "", $AI18 * Premissas!$B$12)</f>
        <v/>
      </c>
      <c r="AK18" s="47" t="str">
        <f t="shared" ref="AK18:AK1000" si="13">IF($A18="", "", $AI18 - $AJ18 - $K18 - $L18 - $O18 - $R18 - $T18 - $U18 - SUM($V18:$AE18))</f>
        <v/>
      </c>
      <c r="AL18" s="47"/>
      <c r="AM18" s="47"/>
    </row>
    <row r="19">
      <c r="K19" s="47" t="str">
        <f>IF($A19="", "", IFERROR($E19 * ($I19/$B19) * Premissas!$B$6, 0))</f>
        <v/>
      </c>
      <c r="L19" s="47" t="str">
        <f>IF($A19="", "", IFERROR(($E19 * Premissas!$B$4 * ($I19/$B19) + $E18 * Premissas!$B$5 * ($I18/$B18)) * Premissas!$B$7, 0))</f>
        <v/>
      </c>
      <c r="AI19" s="47" t="str">
        <f>IF($A19="", "", IFERROR(($I19 * Premissas!$B$5) + ($E19 * ($I19/$B19) * Premissas!$B$4 * 12), 0))</f>
        <v/>
      </c>
      <c r="AJ19" s="47" t="str">
        <f>IF($A19="", "", $AI19 * Premissas!$B$12)</f>
        <v/>
      </c>
      <c r="AK19" s="47" t="str">
        <f t="shared" si="13"/>
        <v/>
      </c>
      <c r="AL19" s="47"/>
      <c r="AM19" s="47"/>
    </row>
    <row r="20">
      <c r="K20" s="47" t="str">
        <f>IF($A20="", "", IFERROR($E20 * ($I20/$B20) * Premissas!$B$6, 0))</f>
        <v/>
      </c>
      <c r="L20" s="47" t="str">
        <f>IF($A20="", "", IFERROR(($E20 * Premissas!$B$4 * ($I20/$B20) + $E19 * Premissas!$B$5 * ($I19/$B19)) * Premissas!$B$7, 0))</f>
        <v/>
      </c>
      <c r="AI20" s="47" t="str">
        <f>IF($A20="", "", IFERROR(($I20 * Premissas!$B$5) + ($E20 * ($I20/$B20) * Premissas!$B$4 * 12), 0))</f>
        <v/>
      </c>
      <c r="AJ20" s="47" t="str">
        <f>IF($A20="", "", $AI20 * Premissas!$B$12)</f>
        <v/>
      </c>
      <c r="AK20" s="47" t="str">
        <f t="shared" si="13"/>
        <v/>
      </c>
      <c r="AL20" s="47"/>
      <c r="AM20" s="47"/>
    </row>
    <row r="21" ht="15.75" customHeight="1">
      <c r="K21" s="47" t="str">
        <f>IF($A21="", "", IFERROR($E21 * ($I21/$B21) * Premissas!$B$6, 0))</f>
        <v/>
      </c>
      <c r="L21" s="47" t="str">
        <f>IF($A21="", "", IFERROR(($E21 * Premissas!$B$4 * ($I21/$B21) + $E20 * Premissas!$B$5 * ($I20/$B20)) * Premissas!$B$7, 0))</f>
        <v/>
      </c>
      <c r="AI21" s="47" t="str">
        <f>IF($A21="", "", IFERROR(($I21 * Premissas!$B$5) + ($E21 * ($I21/$B21) * Premissas!$B$4 * 12), 0))</f>
        <v/>
      </c>
      <c r="AJ21" s="47" t="str">
        <f>IF($A21="", "", $AI21 * Premissas!$B$12)</f>
        <v/>
      </c>
      <c r="AK21" s="47" t="str">
        <f t="shared" si="13"/>
        <v/>
      </c>
      <c r="AL21" s="47"/>
      <c r="AM21" s="47"/>
    </row>
    <row r="22" ht="15.75" customHeight="1">
      <c r="K22" s="47" t="str">
        <f>IF($A22="", "", IFERROR($E22 * ($I22/$B22) * Premissas!$B$6, 0))</f>
        <v/>
      </c>
      <c r="L22" s="47" t="str">
        <f>IF($A22="", "", IFERROR(($E22 * Premissas!$B$4 * ($I22/$B22) + $E21 * Premissas!$B$5 * ($I21/$B21)) * Premissas!$B$7, 0))</f>
        <v/>
      </c>
      <c r="AI22" s="47" t="str">
        <f>IF($A22="", "", IFERROR(($I22 * Premissas!$B$5) + ($E22 * ($I22/$B22) * Premissas!$B$4 * 12), 0))</f>
        <v/>
      </c>
      <c r="AJ22" s="47" t="str">
        <f>IF($A22="", "", $AI22 * Premissas!$B$12)</f>
        <v/>
      </c>
      <c r="AK22" s="47" t="str">
        <f t="shared" si="13"/>
        <v/>
      </c>
      <c r="AL22" s="47"/>
      <c r="AM22" s="47"/>
    </row>
    <row r="23" ht="15.75" customHeight="1">
      <c r="K23" s="47" t="str">
        <f>IF($A23="", "", IFERROR($E23 * ($I23/$B23) * Premissas!$B$6, 0))</f>
        <v/>
      </c>
      <c r="L23" s="47" t="str">
        <f>IF($A23="", "", IFERROR(($E23 * Premissas!$B$4 * ($I23/$B23) + $E22 * Premissas!$B$5 * ($I22/$B22)) * Premissas!$B$7, 0))</f>
        <v/>
      </c>
      <c r="AI23" s="47" t="str">
        <f>IF($A23="", "", IFERROR(($I23 * Premissas!$B$5) + ($E23 * ($I23/$B23) * Premissas!$B$4 * 12), 0))</f>
        <v/>
      </c>
      <c r="AJ23" s="47" t="str">
        <f>IF($A23="", "", $AI23 * Premissas!$B$12)</f>
        <v/>
      </c>
      <c r="AK23" s="47" t="str">
        <f t="shared" si="13"/>
        <v/>
      </c>
      <c r="AL23" s="47"/>
      <c r="AM23" s="47"/>
    </row>
    <row r="24" ht="15.75" customHeight="1">
      <c r="K24" s="47" t="str">
        <f>IF($A24="", "", IFERROR($E24 * ($I24/$B24) * Premissas!$B$6, 0))</f>
        <v/>
      </c>
      <c r="L24" s="47" t="str">
        <f>IF($A24="", "", IFERROR(($E24 * Premissas!$B$4 * ($I24/$B24) + $E23 * Premissas!$B$5 * ($I23/$B23)) * Premissas!$B$7, 0))</f>
        <v/>
      </c>
      <c r="AI24" s="47" t="str">
        <f>IF($A24="", "", IFERROR(($I24 * Premissas!$B$5) + ($E24 * ($I24/$B24) * Premissas!$B$4 * 12), 0))</f>
        <v/>
      </c>
      <c r="AJ24" s="47" t="str">
        <f>IF($A24="", "", $AI24 * Premissas!$B$12)</f>
        <v/>
      </c>
      <c r="AK24" s="47" t="str">
        <f t="shared" si="13"/>
        <v/>
      </c>
      <c r="AL24" s="47"/>
      <c r="AM24" s="47"/>
    </row>
    <row r="25" ht="15.75" customHeight="1">
      <c r="K25" s="47" t="str">
        <f>IF($A25="", "", IFERROR($E25 * ($I25/$B25) * Premissas!$B$6, 0))</f>
        <v/>
      </c>
      <c r="L25" s="47" t="str">
        <f>IF($A25="", "", IFERROR(($E25 * Premissas!$B$4 * ($I25/$B25) + $E24 * Premissas!$B$5 * ($I24/$B24)) * Premissas!$B$7, 0))</f>
        <v/>
      </c>
      <c r="AI25" s="47" t="str">
        <f>IF($A25="", "", IFERROR(($I25 * Premissas!$B$5) + ($E25 * ($I25/$B25) * Premissas!$B$4 * 12), 0))</f>
        <v/>
      </c>
      <c r="AJ25" s="47" t="str">
        <f>IF($A25="", "", $AI25 * Premissas!$B$12)</f>
        <v/>
      </c>
      <c r="AK25" s="47" t="str">
        <f t="shared" si="13"/>
        <v/>
      </c>
      <c r="AL25" s="47"/>
      <c r="AM25" s="47"/>
    </row>
    <row r="26" ht="15.75" customHeight="1">
      <c r="K26" s="47" t="str">
        <f>IF($A26="", "", IFERROR($E26 * ($I26/$B26) * Premissas!$B$6, 0))</f>
        <v/>
      </c>
      <c r="L26" s="47" t="str">
        <f>IF($A26="", "", IFERROR(($E26 * Premissas!$B$4 * ($I26/$B26) + $E25 * Premissas!$B$5 * ($I25/$B25)) * Premissas!$B$7, 0))</f>
        <v/>
      </c>
      <c r="AI26" s="47" t="str">
        <f>IF($A26="", "", IFERROR(($I26 * Premissas!$B$5) + ($E26 * ($I26/$B26) * Premissas!$B$4 * 12), 0))</f>
        <v/>
      </c>
      <c r="AJ26" s="47" t="str">
        <f>IF($A26="", "", $AI26 * Premissas!$B$12)</f>
        <v/>
      </c>
      <c r="AK26" s="47" t="str">
        <f t="shared" si="13"/>
        <v/>
      </c>
      <c r="AL26" s="47"/>
      <c r="AM26" s="47"/>
    </row>
    <row r="27" ht="15.75" customHeight="1">
      <c r="K27" s="47" t="str">
        <f>IF($A27="", "", IFERROR($E27 * ($I27/$B27) * Premissas!$B$6, 0))</f>
        <v/>
      </c>
      <c r="L27" s="47" t="str">
        <f>IF($A27="", "", IFERROR(($E27 * Premissas!$B$4 * ($I27/$B27) + $E26 * Premissas!$B$5 * ($I26/$B26)) * Premissas!$B$7, 0))</f>
        <v/>
      </c>
      <c r="AI27" s="47" t="str">
        <f>IF($A27="", "", IFERROR(($I27 * Premissas!$B$5) + ($E27 * ($I27/$B27) * Premissas!$B$4 * 12), 0))</f>
        <v/>
      </c>
      <c r="AJ27" s="47" t="str">
        <f>IF($A27="", "", $AI27 * Premissas!$B$12)</f>
        <v/>
      </c>
      <c r="AK27" s="47" t="str">
        <f t="shared" si="13"/>
        <v/>
      </c>
      <c r="AL27" s="47"/>
      <c r="AM27" s="47"/>
    </row>
    <row r="28" ht="15.75" customHeight="1">
      <c r="K28" s="47" t="str">
        <f>IF($A28="", "", IFERROR($E28 * ($I28/$B28) * Premissas!$B$6, 0))</f>
        <v/>
      </c>
      <c r="L28" s="47" t="str">
        <f>IF($A28="", "", IFERROR(($E28 * Premissas!$B$4 * ($I28/$B28) + $E27 * Premissas!$B$5 * ($I27/$B27)) * Premissas!$B$7, 0))</f>
        <v/>
      </c>
      <c r="AI28" s="47" t="str">
        <f>IF($A28="", "", IFERROR(($I28 * Premissas!$B$5) + ($E28 * ($I28/$B28) * Premissas!$B$4 * 12), 0))</f>
        <v/>
      </c>
      <c r="AJ28" s="47" t="str">
        <f>IF($A28="", "", $AI28 * Premissas!$B$12)</f>
        <v/>
      </c>
      <c r="AK28" s="47" t="str">
        <f t="shared" si="13"/>
        <v/>
      </c>
      <c r="AL28" s="47"/>
      <c r="AM28" s="47"/>
    </row>
    <row r="29" ht="15.75" customHeight="1">
      <c r="K29" s="47" t="str">
        <f>IF($A29="", "", IFERROR($E29 * ($I29/$B29) * Premissas!$B$6, 0))</f>
        <v/>
      </c>
      <c r="L29" s="47" t="str">
        <f>IF($A29="", "", IFERROR(($E29 * Premissas!$B$4 * ($I29/$B29) + $E28 * Premissas!$B$5 * ($I28/$B28)) * Premissas!$B$7, 0))</f>
        <v/>
      </c>
      <c r="AI29" s="47" t="str">
        <f>IF($A29="", "", IFERROR(($I29 * Premissas!$B$5) + ($E29 * ($I29/$B29) * Premissas!$B$4 * 12), 0))</f>
        <v/>
      </c>
      <c r="AJ29" s="47" t="str">
        <f>IF($A29="", "", $AI29 * Premissas!$B$12)</f>
        <v/>
      </c>
      <c r="AK29" s="47" t="str">
        <f t="shared" si="13"/>
        <v/>
      </c>
      <c r="AL29" s="47"/>
      <c r="AM29" s="47"/>
    </row>
    <row r="30" ht="15.75" customHeight="1">
      <c r="K30" s="47" t="str">
        <f>IF($A30="", "", IFERROR($E30 * ($I30/$B30) * Premissas!$B$6, 0))</f>
        <v/>
      </c>
      <c r="L30" s="47" t="str">
        <f>IF($A30="", "", IFERROR(($E30 * Premissas!$B$4 * ($I30/$B30) + $E29 * Premissas!$B$5 * ($I29/$B29)) * Premissas!$B$7, 0))</f>
        <v/>
      </c>
      <c r="AI30" s="47" t="str">
        <f>IF($A30="", "", IFERROR(($I30 * Premissas!$B$5) + ($E30 * ($I30/$B30) * Premissas!$B$4 * 12), 0))</f>
        <v/>
      </c>
      <c r="AJ30" s="47" t="str">
        <f>IF($A30="", "", $AI30 * Premissas!$B$12)</f>
        <v/>
      </c>
      <c r="AK30" s="47" t="str">
        <f t="shared" si="13"/>
        <v/>
      </c>
      <c r="AL30" s="47"/>
      <c r="AM30" s="47"/>
    </row>
    <row r="31" ht="15.75" customHeight="1">
      <c r="K31" s="47" t="str">
        <f>IF($A31="", "", IFERROR($E31 * ($I31/$B31) * Premissas!$B$6, 0))</f>
        <v/>
      </c>
      <c r="L31" s="47" t="str">
        <f>IF($A31="", "", IFERROR(($E31 * Premissas!$B$4 * ($I31/$B31) + $E30 * Premissas!$B$5 * ($I30/$B30)) * Premissas!$B$7, 0))</f>
        <v/>
      </c>
      <c r="AI31" s="47" t="str">
        <f>IF($A31="", "", IFERROR(($I31 * Premissas!$B$5) + ($E31 * ($I31/$B31) * Premissas!$B$4 * 12), 0))</f>
        <v/>
      </c>
      <c r="AJ31" s="47" t="str">
        <f>IF($A31="", "", $AI31 * Premissas!$B$12)</f>
        <v/>
      </c>
      <c r="AK31" s="47" t="str">
        <f t="shared" si="13"/>
        <v/>
      </c>
      <c r="AL31" s="47"/>
      <c r="AM31" s="47"/>
    </row>
    <row r="32" ht="15.75" customHeight="1">
      <c r="K32" s="47" t="str">
        <f>IF($A32="", "", IFERROR($E32 * ($I32/$B32) * Premissas!$B$6, 0))</f>
        <v/>
      </c>
      <c r="L32" s="47" t="str">
        <f>IF($A32="", "", IFERROR(($E32 * Premissas!$B$4 * ($I32/$B32) + $E31 * Premissas!$B$5 * ($I31/$B31)) * Premissas!$B$7, 0))</f>
        <v/>
      </c>
      <c r="AI32" s="47" t="str">
        <f>IF($A32="", "", IFERROR(($I32 * Premissas!$B$5) + ($E32 * ($I32/$B32) * Premissas!$B$4 * 12), 0))</f>
        <v/>
      </c>
      <c r="AJ32" s="47" t="str">
        <f>IF($A32="", "", $AI32 * Premissas!$B$12)</f>
        <v/>
      </c>
      <c r="AK32" s="47" t="str">
        <f t="shared" si="13"/>
        <v/>
      </c>
      <c r="AL32" s="47"/>
      <c r="AM32" s="47"/>
    </row>
    <row r="33" ht="15.75" customHeight="1">
      <c r="K33" s="47" t="str">
        <f>IF($A33="", "", IFERROR($E33 * ($I33/$B33) * Premissas!$B$6, 0))</f>
        <v/>
      </c>
      <c r="L33" s="47" t="str">
        <f>IF($A33="", "", IFERROR(($E33 * Premissas!$B$4 * ($I33/$B33) + $E32 * Premissas!$B$5 * ($I32/$B32)) * Premissas!$B$7, 0))</f>
        <v/>
      </c>
      <c r="AI33" s="47" t="str">
        <f>IF($A33="", "", IFERROR(($I33 * Premissas!$B$5) + ($E33 * ($I33/$B33) * Premissas!$B$4 * 12), 0))</f>
        <v/>
      </c>
      <c r="AJ33" s="47" t="str">
        <f>IF($A33="", "", $AI33 * Premissas!$B$12)</f>
        <v/>
      </c>
      <c r="AK33" s="47" t="str">
        <f t="shared" si="13"/>
        <v/>
      </c>
      <c r="AL33" s="47"/>
      <c r="AM33" s="47"/>
    </row>
    <row r="34" ht="15.75" customHeight="1">
      <c r="K34" s="47" t="str">
        <f>IF($A34="", "", IFERROR($E34 * ($I34/$B34) * Premissas!$B$6, 0))</f>
        <v/>
      </c>
      <c r="L34" s="47" t="str">
        <f>IF($A34="", "", IFERROR(($E34 * Premissas!$B$4 * ($I34/$B34) + $E33 * Premissas!$B$5 * ($I33/$B33)) * Premissas!$B$7, 0))</f>
        <v/>
      </c>
      <c r="AI34" s="47" t="str">
        <f>IF($A34="", "", IFERROR(($I34 * Premissas!$B$5) + ($E34 * ($I34/$B34) * Premissas!$B$4 * 12), 0))</f>
        <v/>
      </c>
      <c r="AJ34" s="47" t="str">
        <f>IF($A34="", "", $AI34 * Premissas!$B$12)</f>
        <v/>
      </c>
      <c r="AK34" s="47" t="str">
        <f t="shared" si="13"/>
        <v/>
      </c>
      <c r="AL34" s="47"/>
      <c r="AM34" s="47"/>
    </row>
    <row r="35" ht="15.75" customHeight="1">
      <c r="K35" s="47" t="str">
        <f>IF($A35="", "", IFERROR($E35 * ($I35/$B35) * Premissas!$B$6, 0))</f>
        <v/>
      </c>
      <c r="L35" s="47" t="str">
        <f>IF($A35="", "", IFERROR(($E35 * Premissas!$B$4 * ($I35/$B35) + $E34 * Premissas!$B$5 * ($I34/$B34)) * Premissas!$B$7, 0))</f>
        <v/>
      </c>
      <c r="AI35" s="47" t="str">
        <f>IF($A35="", "", IFERROR(($I35 * Premissas!$B$5) + ($E35 * ($I35/$B35) * Premissas!$B$4 * 12), 0))</f>
        <v/>
      </c>
      <c r="AJ35" s="47" t="str">
        <f>IF($A35="", "", $AI35 * Premissas!$B$12)</f>
        <v/>
      </c>
      <c r="AK35" s="47" t="str">
        <f t="shared" si="13"/>
        <v/>
      </c>
      <c r="AL35" s="47"/>
      <c r="AM35" s="47"/>
    </row>
    <row r="36" ht="15.75" customHeight="1">
      <c r="K36" s="47" t="str">
        <f>IF($A36="", "", IFERROR($E36 * ($I36/$B36) * Premissas!$B$6, 0))</f>
        <v/>
      </c>
      <c r="L36" s="47" t="str">
        <f>IF($A36="", "", IFERROR(($E36 * Premissas!$B$4 * ($I36/$B36) + $E35 * Premissas!$B$5 * ($I35/$B35)) * Premissas!$B$7, 0))</f>
        <v/>
      </c>
      <c r="AI36" s="47" t="str">
        <f>IF($A36="", "", IFERROR(($I36 * Premissas!$B$5) + ($E36 * ($I36/$B36) * Premissas!$B$4 * 12), 0))</f>
        <v/>
      </c>
      <c r="AJ36" s="47" t="str">
        <f>IF($A36="", "", $AI36 * Premissas!$B$12)</f>
        <v/>
      </c>
      <c r="AK36" s="47" t="str">
        <f t="shared" si="13"/>
        <v/>
      </c>
      <c r="AL36" s="47"/>
      <c r="AM36" s="47"/>
    </row>
    <row r="37" ht="15.75" customHeight="1">
      <c r="K37" s="47" t="str">
        <f>IF($A37="", "", IFERROR($E37 * ($I37/$B37) * Premissas!$B$6, 0))</f>
        <v/>
      </c>
      <c r="L37" s="47" t="str">
        <f>IF($A37="", "", IFERROR(($E37 * Premissas!$B$4 * ($I37/$B37) + $E36 * Premissas!$B$5 * ($I36/$B36)) * Premissas!$B$7, 0))</f>
        <v/>
      </c>
      <c r="AI37" s="47" t="str">
        <f>IF($A37="", "", IFERROR(($I37 * Premissas!$B$5) + ($E37 * ($I37/$B37) * Premissas!$B$4 * 12), 0))</f>
        <v/>
      </c>
      <c r="AJ37" s="47" t="str">
        <f>IF($A37="", "", $AI37 * Premissas!$B$12)</f>
        <v/>
      </c>
      <c r="AK37" s="47" t="str">
        <f t="shared" si="13"/>
        <v/>
      </c>
      <c r="AL37" s="47"/>
      <c r="AM37" s="47"/>
    </row>
    <row r="38" ht="15.75" customHeight="1">
      <c r="K38" s="47" t="str">
        <f>IF($A38="", "", IFERROR($E38 * ($I38/$B38) * Premissas!$B$6, 0))</f>
        <v/>
      </c>
      <c r="L38" s="47" t="str">
        <f>IF($A38="", "", IFERROR(($E38 * Premissas!$B$4 * ($I38/$B38) + $E37 * Premissas!$B$5 * ($I37/$B37)) * Premissas!$B$7, 0))</f>
        <v/>
      </c>
      <c r="AI38" s="47" t="str">
        <f>IF($A38="", "", IFERROR(($I38 * Premissas!$B$5) + ($E38 * ($I38/$B38) * Premissas!$B$4 * 12), 0))</f>
        <v/>
      </c>
      <c r="AJ38" s="47" t="str">
        <f>IF($A38="", "", $AI38 * Premissas!$B$12)</f>
        <v/>
      </c>
      <c r="AK38" s="47" t="str">
        <f t="shared" si="13"/>
        <v/>
      </c>
      <c r="AL38" s="47"/>
      <c r="AM38" s="47"/>
    </row>
    <row r="39" ht="15.75" customHeight="1">
      <c r="K39" s="47" t="str">
        <f>IF($A39="", "", IFERROR($E39 * ($I39/$B39) * Premissas!$B$6, 0))</f>
        <v/>
      </c>
      <c r="L39" s="47" t="str">
        <f>IF($A39="", "", IFERROR(($E39 * Premissas!$B$4 * ($I39/$B39) + $E38 * Premissas!$B$5 * ($I38/$B38)) * Premissas!$B$7, 0))</f>
        <v/>
      </c>
      <c r="AI39" s="47" t="str">
        <f>IF($A39="", "", IFERROR(($I39 * Premissas!$B$5) + ($E39 * ($I39/$B39) * Premissas!$B$4 * 12), 0))</f>
        <v/>
      </c>
      <c r="AJ39" s="47" t="str">
        <f>IF($A39="", "", $AI39 * Premissas!$B$12)</f>
        <v/>
      </c>
      <c r="AK39" s="47" t="str">
        <f t="shared" si="13"/>
        <v/>
      </c>
      <c r="AL39" s="47"/>
      <c r="AM39" s="47"/>
    </row>
    <row r="40" ht="15.75" customHeight="1">
      <c r="K40" s="47" t="str">
        <f>IF($A40="", "", IFERROR($E40 * ($I40/$B40) * Premissas!$B$6, 0))</f>
        <v/>
      </c>
      <c r="L40" s="47" t="str">
        <f>IF($A40="", "", IFERROR(($E40 * Premissas!$B$4 * ($I40/$B40) + $E39 * Premissas!$B$5 * ($I39/$B39)) * Premissas!$B$7, 0))</f>
        <v/>
      </c>
      <c r="AI40" s="47" t="str">
        <f>IF($A40="", "", IFERROR(($I40 * Premissas!$B$5) + ($E40 * ($I40/$B40) * Premissas!$B$4 * 12), 0))</f>
        <v/>
      </c>
      <c r="AJ40" s="47" t="str">
        <f>IF($A40="", "", $AI40 * Premissas!$B$12)</f>
        <v/>
      </c>
      <c r="AK40" s="47" t="str">
        <f t="shared" si="13"/>
        <v/>
      </c>
      <c r="AL40" s="47"/>
      <c r="AM40" s="47"/>
    </row>
    <row r="41" ht="15.75" customHeight="1">
      <c r="K41" s="47" t="str">
        <f>IF($A41="", "", IFERROR($E41 * ($I41/$B41) * Premissas!$B$6, 0))</f>
        <v/>
      </c>
      <c r="L41" s="47" t="str">
        <f>IF($A41="", "", IFERROR(($E41 * Premissas!$B$4 * ($I41/$B41) + $E40 * Premissas!$B$5 * ($I40/$B40)) * Premissas!$B$7, 0))</f>
        <v/>
      </c>
      <c r="AI41" s="47" t="str">
        <f>IF($A41="", "", IFERROR(($I41 * Premissas!$B$5) + ($E41 * ($I41/$B41) * Premissas!$B$4 * 12), 0))</f>
        <v/>
      </c>
      <c r="AJ41" s="47" t="str">
        <f>IF($A41="", "", $AI41 * Premissas!$B$12)</f>
        <v/>
      </c>
      <c r="AK41" s="47" t="str">
        <f t="shared" si="13"/>
        <v/>
      </c>
      <c r="AL41" s="47"/>
      <c r="AM41" s="47"/>
    </row>
    <row r="42" ht="15.75" customHeight="1">
      <c r="K42" s="47" t="str">
        <f>IF($A42="", "", IFERROR($E42 * ($I42/$B42) * Premissas!$B$6, 0))</f>
        <v/>
      </c>
      <c r="L42" s="47" t="str">
        <f>IF($A42="", "", IFERROR(($E42 * Premissas!$B$4 * ($I42/$B42) + $E41 * Premissas!$B$5 * ($I41/$B41)) * Premissas!$B$7, 0))</f>
        <v/>
      </c>
      <c r="AI42" s="47" t="str">
        <f>IF($A42="", "", IFERROR(($I42 * Premissas!$B$5) + ($E42 * ($I42/$B42) * Premissas!$B$4 * 12), 0))</f>
        <v/>
      </c>
      <c r="AJ42" s="47" t="str">
        <f>IF($A42="", "", $AI42 * Premissas!$B$12)</f>
        <v/>
      </c>
      <c r="AK42" s="47" t="str">
        <f t="shared" si="13"/>
        <v/>
      </c>
      <c r="AL42" s="47"/>
      <c r="AM42" s="47"/>
    </row>
    <row r="43" ht="15.75" customHeight="1">
      <c r="K43" s="47" t="str">
        <f>IF($A43="", "", IFERROR($E43 * ($I43/$B43) * Premissas!$B$6, 0))</f>
        <v/>
      </c>
      <c r="L43" s="47" t="str">
        <f>IF($A43="", "", IFERROR(($E43 * Premissas!$B$4 * ($I43/$B43) + $E42 * Premissas!$B$5 * ($I42/$B42)) * Premissas!$B$7, 0))</f>
        <v/>
      </c>
      <c r="AI43" s="47" t="str">
        <f>IF($A43="", "", IFERROR(($I43 * Premissas!$B$5) + ($E43 * ($I43/$B43) * Premissas!$B$4 * 12), 0))</f>
        <v/>
      </c>
      <c r="AJ43" s="47" t="str">
        <f>IF($A43="", "", $AI43 * Premissas!$B$12)</f>
        <v/>
      </c>
      <c r="AK43" s="47" t="str">
        <f t="shared" si="13"/>
        <v/>
      </c>
      <c r="AL43" s="47"/>
      <c r="AM43" s="47"/>
    </row>
    <row r="44" ht="15.75" customHeight="1">
      <c r="K44" s="47" t="str">
        <f>IF($A44="", "", IFERROR($E44 * ($I44/$B44) * Premissas!$B$6, 0))</f>
        <v/>
      </c>
      <c r="L44" s="47" t="str">
        <f>IF($A44="", "", IFERROR(($E44 * Premissas!$B$4 * ($I44/$B44) + $E43 * Premissas!$B$5 * ($I43/$B43)) * Premissas!$B$7, 0))</f>
        <v/>
      </c>
      <c r="AI44" s="47" t="str">
        <f>IF($A44="", "", IFERROR(($I44 * Premissas!$B$5) + ($E44 * ($I44/$B44) * Premissas!$B$4 * 12), 0))</f>
        <v/>
      </c>
      <c r="AJ44" s="47" t="str">
        <f>IF($A44="", "", $AI44 * Premissas!$B$12)</f>
        <v/>
      </c>
      <c r="AK44" s="47" t="str">
        <f t="shared" si="13"/>
        <v/>
      </c>
      <c r="AL44" s="47"/>
      <c r="AM44" s="47"/>
    </row>
    <row r="45" ht="15.75" customHeight="1">
      <c r="K45" s="47" t="str">
        <f>IF($A45="", "", IFERROR($E45 * ($I45/$B45) * Premissas!$B$6, 0))</f>
        <v/>
      </c>
      <c r="L45" s="47" t="str">
        <f>IF($A45="", "", IFERROR(($E45 * Premissas!$B$4 * ($I45/$B45) + $E44 * Premissas!$B$5 * ($I44/$B44)) * Premissas!$B$7, 0))</f>
        <v/>
      </c>
      <c r="AI45" s="47" t="str">
        <f>IF($A45="", "", IFERROR(($I45 * Premissas!$B$5) + ($E45 * ($I45/$B45) * Premissas!$B$4 * 12), 0))</f>
        <v/>
      </c>
      <c r="AJ45" s="47" t="str">
        <f>IF($A45="", "", $AI45 * Premissas!$B$12)</f>
        <v/>
      </c>
      <c r="AK45" s="47" t="str">
        <f t="shared" si="13"/>
        <v/>
      </c>
      <c r="AL45" s="47"/>
      <c r="AM45" s="47"/>
    </row>
    <row r="46" ht="15.75" customHeight="1">
      <c r="K46" s="47" t="str">
        <f>IF($A46="", "", IFERROR($E46 * ($I46/$B46) * Premissas!$B$6, 0))</f>
        <v/>
      </c>
      <c r="L46" s="47" t="str">
        <f>IF($A46="", "", IFERROR(($E46 * Premissas!$B$4 * ($I46/$B46) + $E45 * Premissas!$B$5 * ($I45/$B45)) * Premissas!$B$7, 0))</f>
        <v/>
      </c>
      <c r="AI46" s="47" t="str">
        <f>IF($A46="", "", IFERROR(($I46 * Premissas!$B$5) + ($E46 * ($I46/$B46) * Premissas!$B$4 * 12), 0))</f>
        <v/>
      </c>
      <c r="AJ46" s="47" t="str">
        <f>IF($A46="", "", $AI46 * Premissas!$B$12)</f>
        <v/>
      </c>
      <c r="AK46" s="47" t="str">
        <f t="shared" si="13"/>
        <v/>
      </c>
      <c r="AL46" s="47"/>
      <c r="AM46" s="47"/>
    </row>
    <row r="47" ht="15.75" customHeight="1">
      <c r="K47" s="47" t="str">
        <f>IF($A47="", "", IFERROR($E47 * ($I47/$B47) * Premissas!$B$6, 0))</f>
        <v/>
      </c>
      <c r="L47" s="47" t="str">
        <f>IF($A47="", "", IFERROR(($E47 * Premissas!$B$4 * ($I47/$B47) + $E46 * Premissas!$B$5 * ($I46/$B46)) * Premissas!$B$7, 0))</f>
        <v/>
      </c>
      <c r="AI47" s="47" t="str">
        <f>IF($A47="", "", IFERROR(($I47 * Premissas!$B$5) + ($E47 * ($I47/$B47) * Premissas!$B$4 * 12), 0))</f>
        <v/>
      </c>
      <c r="AJ47" s="47" t="str">
        <f>IF($A47="", "", $AI47 * Premissas!$B$12)</f>
        <v/>
      </c>
      <c r="AK47" s="47" t="str">
        <f t="shared" si="13"/>
        <v/>
      </c>
      <c r="AL47" s="47"/>
      <c r="AM47" s="47"/>
    </row>
    <row r="48" ht="15.75" customHeight="1">
      <c r="K48" s="47" t="str">
        <f>IF($A48="", "", IFERROR($E48 * ($I48/$B48) * Premissas!$B$6, 0))</f>
        <v/>
      </c>
      <c r="L48" s="47" t="str">
        <f>IF($A48="", "", IFERROR(($E48 * Premissas!$B$4 * ($I48/$B48) + $E47 * Premissas!$B$5 * ($I47/$B47)) * Premissas!$B$7, 0))</f>
        <v/>
      </c>
      <c r="AI48" s="47" t="str">
        <f>IF($A48="", "", IFERROR(($I48 * Premissas!$B$5) + ($E48 * ($I48/$B48) * Premissas!$B$4 * 12), 0))</f>
        <v/>
      </c>
      <c r="AJ48" s="47" t="str">
        <f>IF($A48="", "", $AI48 * Premissas!$B$12)</f>
        <v/>
      </c>
      <c r="AK48" s="47" t="str">
        <f t="shared" si="13"/>
        <v/>
      </c>
      <c r="AL48" s="47"/>
      <c r="AM48" s="47"/>
    </row>
    <row r="49" ht="15.75" customHeight="1">
      <c r="K49" s="47" t="str">
        <f>IF($A49="", "", IFERROR($E49 * ($I49/$B49) * Premissas!$B$6, 0))</f>
        <v/>
      </c>
      <c r="L49" s="47" t="str">
        <f>IF($A49="", "", IFERROR(($E49 * Premissas!$B$4 * ($I49/$B49) + $E48 * Premissas!$B$5 * ($I48/$B48)) * Premissas!$B$7, 0))</f>
        <v/>
      </c>
      <c r="AI49" s="47" t="str">
        <f>IF($A49="", "", IFERROR(($I49 * Premissas!$B$5) + ($E49 * ($I49/$B49) * Premissas!$B$4 * 12), 0))</f>
        <v/>
      </c>
      <c r="AJ49" s="47" t="str">
        <f>IF($A49="", "", $AI49 * Premissas!$B$12)</f>
        <v/>
      </c>
      <c r="AK49" s="47" t="str">
        <f t="shared" si="13"/>
        <v/>
      </c>
      <c r="AL49" s="47"/>
      <c r="AM49" s="47"/>
    </row>
    <row r="50" ht="15.75" customHeight="1">
      <c r="K50" s="47" t="str">
        <f>IF($A50="", "", IFERROR($E50 * ($I50/$B50) * Premissas!$B$6, 0))</f>
        <v/>
      </c>
      <c r="L50" s="47" t="str">
        <f>IF($A50="", "", IFERROR(($E50 * Premissas!$B$4 * ($I50/$B50) + $E49 * Premissas!$B$5 * ($I49/$B49)) * Premissas!$B$7, 0))</f>
        <v/>
      </c>
      <c r="AI50" s="47" t="str">
        <f>IF($A50="", "", IFERROR(($I50 * Premissas!$B$5) + ($E50 * ($I50/$B50) * Premissas!$B$4 * 12), 0))</f>
        <v/>
      </c>
      <c r="AJ50" s="47" t="str">
        <f>IF($A50="", "", $AI50 * Premissas!$B$12)</f>
        <v/>
      </c>
      <c r="AK50" s="47" t="str">
        <f t="shared" si="13"/>
        <v/>
      </c>
      <c r="AL50" s="47"/>
      <c r="AM50" s="47"/>
    </row>
    <row r="51" ht="15.75" customHeight="1">
      <c r="K51" s="47" t="str">
        <f>IF($A51="", "", IFERROR($E51 * ($I51/$B51) * Premissas!$B$6, 0))</f>
        <v/>
      </c>
      <c r="L51" s="47" t="str">
        <f>IF($A51="", "", IFERROR(($E51 * Premissas!$B$4 * ($I51/$B51) + $E50 * Premissas!$B$5 * ($I50/$B50)) * Premissas!$B$7, 0))</f>
        <v/>
      </c>
      <c r="AI51" s="47" t="str">
        <f>IF($A51="", "", IFERROR(($I51 * Premissas!$B$5) + ($E51 * ($I51/$B51) * Premissas!$B$4 * 12), 0))</f>
        <v/>
      </c>
      <c r="AJ51" s="47" t="str">
        <f>IF($A51="", "", $AI51 * Premissas!$B$12)</f>
        <v/>
      </c>
      <c r="AK51" s="47" t="str">
        <f t="shared" si="13"/>
        <v/>
      </c>
      <c r="AL51" s="47"/>
      <c r="AM51" s="47"/>
    </row>
    <row r="52" ht="15.75" customHeight="1">
      <c r="K52" s="47" t="str">
        <f>IF($A52="", "", IFERROR($E52 * ($I52/$B52) * Premissas!$B$6, 0))</f>
        <v/>
      </c>
      <c r="L52" s="47" t="str">
        <f>IF($A52="", "", IFERROR(($E52 * Premissas!$B$4 * ($I52/$B52) + $E51 * Premissas!$B$5 * ($I51/$B51)) * Premissas!$B$7, 0))</f>
        <v/>
      </c>
      <c r="AI52" s="47" t="str">
        <f>IF($A52="", "", IFERROR(($I52 * Premissas!$B$5) + ($E52 * ($I52/$B52) * Premissas!$B$4 * 12), 0))</f>
        <v/>
      </c>
      <c r="AJ52" s="47" t="str">
        <f>IF($A52="", "", $AI52 * Premissas!$B$12)</f>
        <v/>
      </c>
      <c r="AK52" s="47" t="str">
        <f t="shared" si="13"/>
        <v/>
      </c>
      <c r="AL52" s="47"/>
      <c r="AM52" s="47"/>
    </row>
    <row r="53" ht="15.75" customHeight="1">
      <c r="K53" s="47" t="str">
        <f>IF($A53="", "", IFERROR($E53 * ($I53/$B53) * Premissas!$B$6, 0))</f>
        <v/>
      </c>
      <c r="L53" s="47" t="str">
        <f>IF($A53="", "", IFERROR(($E53 * Premissas!$B$4 * ($I53/$B53) + $E52 * Premissas!$B$5 * ($I52/$B52)) * Premissas!$B$7, 0))</f>
        <v/>
      </c>
      <c r="AI53" s="47" t="str">
        <f>IF($A53="", "", IFERROR(($I53 * Premissas!$B$5) + ($E53 * ($I53/$B53) * Premissas!$B$4 * 12), 0))</f>
        <v/>
      </c>
      <c r="AJ53" s="47" t="str">
        <f>IF($A53="", "", $AI53 * Premissas!$B$12)</f>
        <v/>
      </c>
      <c r="AK53" s="47" t="str">
        <f t="shared" si="13"/>
        <v/>
      </c>
      <c r="AL53" s="47"/>
      <c r="AM53" s="47"/>
    </row>
    <row r="54" ht="15.75" customHeight="1">
      <c r="K54" s="47" t="str">
        <f>IF($A54="", "", IFERROR($E54 * ($I54/$B54) * Premissas!$B$6, 0))</f>
        <v/>
      </c>
      <c r="L54" s="47" t="str">
        <f>IF($A54="", "", IFERROR(($E54 * Premissas!$B$4 * ($I54/$B54) + $E53 * Premissas!$B$5 * ($I53/$B53)) * Premissas!$B$7, 0))</f>
        <v/>
      </c>
      <c r="AI54" s="47" t="str">
        <f>IF($A54="", "", IFERROR(($I54 * Premissas!$B$5) + ($E54 * ($I54/$B54) * Premissas!$B$4 * 12), 0))</f>
        <v/>
      </c>
      <c r="AJ54" s="47" t="str">
        <f>IF($A54="", "", $AI54 * Premissas!$B$12)</f>
        <v/>
      </c>
      <c r="AK54" s="47" t="str">
        <f t="shared" si="13"/>
        <v/>
      </c>
      <c r="AL54" s="47"/>
      <c r="AM54" s="47"/>
    </row>
    <row r="55" ht="15.75" customHeight="1">
      <c r="K55" s="47" t="str">
        <f>IF($A55="", "", IFERROR($E55 * ($I55/$B55) * Premissas!$B$6, 0))</f>
        <v/>
      </c>
      <c r="L55" s="47" t="str">
        <f>IF($A55="", "", IFERROR(($E55 * Premissas!$B$4 * ($I55/$B55) + $E54 * Premissas!$B$5 * ($I54/$B54)) * Premissas!$B$7, 0))</f>
        <v/>
      </c>
      <c r="AI55" s="47" t="str">
        <f>IF($A55="", "", IFERROR(($I55 * Premissas!$B$5) + ($E55 * ($I55/$B55) * Premissas!$B$4 * 12), 0))</f>
        <v/>
      </c>
      <c r="AJ55" s="47" t="str">
        <f>IF($A55="", "", $AI55 * Premissas!$B$12)</f>
        <v/>
      </c>
      <c r="AK55" s="47" t="str">
        <f t="shared" si="13"/>
        <v/>
      </c>
      <c r="AL55" s="47"/>
      <c r="AM55" s="47"/>
    </row>
    <row r="56" ht="15.75" customHeight="1">
      <c r="K56" s="47" t="str">
        <f>IF($A56="", "", IFERROR($E56 * ($I56/$B56) * Premissas!$B$6, 0))</f>
        <v/>
      </c>
      <c r="L56" s="47" t="str">
        <f>IF($A56="", "", IFERROR(($E56 * Premissas!$B$4 * ($I56/$B56) + $E55 * Premissas!$B$5 * ($I55/$B55)) * Premissas!$B$7, 0))</f>
        <v/>
      </c>
      <c r="AI56" s="47" t="str">
        <f>IF($A56="", "", IFERROR(($I56 * Premissas!$B$5) + ($E56 * ($I56/$B56) * Premissas!$B$4 * 12), 0))</f>
        <v/>
      </c>
      <c r="AJ56" s="47" t="str">
        <f>IF($A56="", "", $AI56 * Premissas!$B$12)</f>
        <v/>
      </c>
      <c r="AK56" s="47" t="str">
        <f t="shared" si="13"/>
        <v/>
      </c>
      <c r="AL56" s="47"/>
      <c r="AM56" s="47"/>
    </row>
    <row r="57" ht="15.75" customHeight="1">
      <c r="K57" s="47" t="str">
        <f>IF($A57="", "", IFERROR($E57 * ($I57/$B57) * Premissas!$B$6, 0))</f>
        <v/>
      </c>
      <c r="L57" s="47" t="str">
        <f>IF($A57="", "", IFERROR(($E57 * Premissas!$B$4 * ($I57/$B57) + $E56 * Premissas!$B$5 * ($I56/$B56)) * Premissas!$B$7, 0))</f>
        <v/>
      </c>
      <c r="AI57" s="47" t="str">
        <f>IF($A57="", "", IFERROR(($I57 * Premissas!$B$5) + ($E57 * ($I57/$B57) * Premissas!$B$4 * 12), 0))</f>
        <v/>
      </c>
      <c r="AJ57" s="47" t="str">
        <f>IF($A57="", "", $AI57 * Premissas!$B$12)</f>
        <v/>
      </c>
      <c r="AK57" s="47" t="str">
        <f t="shared" si="13"/>
        <v/>
      </c>
      <c r="AL57" s="47"/>
      <c r="AM57" s="47"/>
    </row>
    <row r="58" ht="15.75" customHeight="1">
      <c r="K58" s="47" t="str">
        <f>IF($A58="", "", IFERROR($E58 * ($I58/$B58) * Premissas!$B$6, 0))</f>
        <v/>
      </c>
      <c r="L58" s="47" t="str">
        <f>IF($A58="", "", IFERROR(($E58 * Premissas!$B$4 * ($I58/$B58) + $E57 * Premissas!$B$5 * ($I57/$B57)) * Premissas!$B$7, 0))</f>
        <v/>
      </c>
      <c r="AI58" s="47" t="str">
        <f>IF($A58="", "", IFERROR(($I58 * Premissas!$B$5) + ($E58 * ($I58/$B58) * Premissas!$B$4 * 12), 0))</f>
        <v/>
      </c>
      <c r="AJ58" s="47" t="str">
        <f>IF($A58="", "", $AI58 * Premissas!$B$12)</f>
        <v/>
      </c>
      <c r="AK58" s="47" t="str">
        <f t="shared" si="13"/>
        <v/>
      </c>
      <c r="AL58" s="47"/>
      <c r="AM58" s="47"/>
    </row>
    <row r="59" ht="15.75" customHeight="1">
      <c r="K59" s="47" t="str">
        <f>IF($A59="", "", IFERROR($E59 * ($I59/$B59) * Premissas!$B$6, 0))</f>
        <v/>
      </c>
      <c r="L59" s="47" t="str">
        <f>IF($A59="", "", IFERROR(($E59 * Premissas!$B$4 * ($I59/$B59) + $E58 * Premissas!$B$5 * ($I58/$B58)) * Premissas!$B$7, 0))</f>
        <v/>
      </c>
      <c r="AI59" s="47" t="str">
        <f>IF($A59="", "", IFERROR(($I59 * Premissas!$B$5) + ($E59 * ($I59/$B59) * Premissas!$B$4 * 12), 0))</f>
        <v/>
      </c>
      <c r="AJ59" s="47" t="str">
        <f>IF($A59="", "", $AI59 * Premissas!$B$12)</f>
        <v/>
      </c>
      <c r="AK59" s="47" t="str">
        <f t="shared" si="13"/>
        <v/>
      </c>
      <c r="AL59" s="47"/>
      <c r="AM59" s="47"/>
    </row>
    <row r="60" ht="15.75" customHeight="1">
      <c r="K60" s="47" t="str">
        <f>IF($A60="", "", IFERROR($E60 * ($I60/$B60) * Premissas!$B$6, 0))</f>
        <v/>
      </c>
      <c r="L60" s="47" t="str">
        <f>IF($A60="", "", IFERROR(($E60 * Premissas!$B$4 * ($I60/$B60) + $E59 * Premissas!$B$5 * ($I59/$B59)) * Premissas!$B$7, 0))</f>
        <v/>
      </c>
      <c r="AI60" s="47" t="str">
        <f>IF($A60="", "", IFERROR(($I60 * Premissas!$B$5) + ($E60 * ($I60/$B60) * Premissas!$B$4 * 12), 0))</f>
        <v/>
      </c>
      <c r="AJ60" s="47" t="str">
        <f>IF($A60="", "", $AI60 * Premissas!$B$12)</f>
        <v/>
      </c>
      <c r="AK60" s="47" t="str">
        <f t="shared" si="13"/>
        <v/>
      </c>
      <c r="AL60" s="47"/>
      <c r="AM60" s="47"/>
    </row>
    <row r="61" ht="15.75" customHeight="1">
      <c r="K61" s="47" t="str">
        <f>IF($A61="", "", IFERROR($E61 * ($I61/$B61) * Premissas!$B$6, 0))</f>
        <v/>
      </c>
      <c r="L61" s="47" t="str">
        <f>IF($A61="", "", IFERROR(($E61 * Premissas!$B$4 * ($I61/$B61) + $E60 * Premissas!$B$5 * ($I60/$B60)) * Premissas!$B$7, 0))</f>
        <v/>
      </c>
      <c r="AI61" s="47" t="str">
        <f>IF($A61="", "", IFERROR(($I61 * Premissas!$B$5) + ($E61 * ($I61/$B61) * Premissas!$B$4 * 12), 0))</f>
        <v/>
      </c>
      <c r="AJ61" s="47" t="str">
        <f>IF($A61="", "", $AI61 * Premissas!$B$12)</f>
        <v/>
      </c>
      <c r="AK61" s="47" t="str">
        <f t="shared" si="13"/>
        <v/>
      </c>
      <c r="AL61" s="47"/>
      <c r="AM61" s="47"/>
    </row>
    <row r="62" ht="15.75" customHeight="1">
      <c r="K62" s="47" t="str">
        <f>IF($A62="", "", IFERROR($E62 * ($I62/$B62) * Premissas!$B$6, 0))</f>
        <v/>
      </c>
      <c r="L62" s="47" t="str">
        <f>IF($A62="", "", IFERROR(($E62 * Premissas!$B$4 * ($I62/$B62) + $E61 * Premissas!$B$5 * ($I61/$B61)) * Premissas!$B$7, 0))</f>
        <v/>
      </c>
      <c r="AI62" s="47" t="str">
        <f>IF($A62="", "", IFERROR(($I62 * Premissas!$B$5) + ($E62 * ($I62/$B62) * Premissas!$B$4 * 12), 0))</f>
        <v/>
      </c>
      <c r="AJ62" s="47" t="str">
        <f>IF($A62="", "", $AI62 * Premissas!$B$12)</f>
        <v/>
      </c>
      <c r="AK62" s="47" t="str">
        <f t="shared" si="13"/>
        <v/>
      </c>
      <c r="AL62" s="47"/>
      <c r="AM62" s="47"/>
    </row>
    <row r="63" ht="15.75" customHeight="1">
      <c r="K63" s="47" t="str">
        <f>IF($A63="", "", IFERROR($E63 * ($I63/$B63) * Premissas!$B$6, 0))</f>
        <v/>
      </c>
      <c r="L63" s="47" t="str">
        <f>IF($A63="", "", IFERROR(($E63 * Premissas!$B$4 * ($I63/$B63) + $E62 * Premissas!$B$5 * ($I62/$B62)) * Premissas!$B$7, 0))</f>
        <v/>
      </c>
      <c r="AI63" s="47" t="str">
        <f>IF($A63="", "", IFERROR(($I63 * Premissas!$B$5) + ($E63 * ($I63/$B63) * Premissas!$B$4 * 12), 0))</f>
        <v/>
      </c>
      <c r="AJ63" s="47" t="str">
        <f>IF($A63="", "", $AI63 * Premissas!$B$12)</f>
        <v/>
      </c>
      <c r="AK63" s="47" t="str">
        <f t="shared" si="13"/>
        <v/>
      </c>
      <c r="AL63" s="47"/>
      <c r="AM63" s="47"/>
    </row>
    <row r="64" ht="15.75" customHeight="1">
      <c r="K64" s="47" t="str">
        <f>IF($A64="", "", IFERROR($E64 * ($I64/$B64) * Premissas!$B$6, 0))</f>
        <v/>
      </c>
      <c r="L64" s="47" t="str">
        <f>IF($A64="", "", IFERROR(($E64 * Premissas!$B$4 * ($I64/$B64) + $E63 * Premissas!$B$5 * ($I63/$B63)) * Premissas!$B$7, 0))</f>
        <v/>
      </c>
      <c r="AI64" s="47" t="str">
        <f>IF($A64="", "", IFERROR(($I64 * Premissas!$B$5) + ($E64 * ($I64/$B64) * Premissas!$B$4 * 12), 0))</f>
        <v/>
      </c>
      <c r="AJ64" s="47" t="str">
        <f>IF($A64="", "", $AI64 * Premissas!$B$12)</f>
        <v/>
      </c>
      <c r="AK64" s="47" t="str">
        <f t="shared" si="13"/>
        <v/>
      </c>
      <c r="AL64" s="47"/>
      <c r="AM64" s="47"/>
    </row>
    <row r="65" ht="15.75" customHeight="1">
      <c r="K65" s="47" t="str">
        <f>IF($A65="", "", IFERROR($E65 * ($I65/$B65) * Premissas!$B$6, 0))</f>
        <v/>
      </c>
      <c r="L65" s="47" t="str">
        <f>IF($A65="", "", IFERROR(($E65 * Premissas!$B$4 * ($I65/$B65) + $E64 * Premissas!$B$5 * ($I64/$B64)) * Premissas!$B$7, 0))</f>
        <v/>
      </c>
      <c r="AI65" s="47" t="str">
        <f>IF($A65="", "", IFERROR(($I65 * Premissas!$B$5) + ($E65 * ($I65/$B65) * Premissas!$B$4 * 12), 0))</f>
        <v/>
      </c>
      <c r="AJ65" s="47" t="str">
        <f>IF($A65="", "", $AI65 * Premissas!$B$12)</f>
        <v/>
      </c>
      <c r="AK65" s="47" t="str">
        <f t="shared" si="13"/>
        <v/>
      </c>
      <c r="AL65" s="47"/>
      <c r="AM65" s="47"/>
    </row>
    <row r="66" ht="15.75" customHeight="1">
      <c r="K66" s="47" t="str">
        <f>IF($A66="", "", IFERROR($E66 * ($I66/$B66) * Premissas!$B$6, 0))</f>
        <v/>
      </c>
      <c r="L66" s="47" t="str">
        <f>IF($A66="", "", IFERROR(($E66 * Premissas!$B$4 * ($I66/$B66) + $E65 * Premissas!$B$5 * ($I65/$B65)) * Premissas!$B$7, 0))</f>
        <v/>
      </c>
      <c r="AI66" s="47" t="str">
        <f>IF($A66="", "", IFERROR(($I66 * Premissas!$B$5) + ($E66 * ($I66/$B66) * Premissas!$B$4 * 12), 0))</f>
        <v/>
      </c>
      <c r="AJ66" s="47" t="str">
        <f>IF($A66="", "", $AI66 * Premissas!$B$12)</f>
        <v/>
      </c>
      <c r="AK66" s="47" t="str">
        <f t="shared" si="13"/>
        <v/>
      </c>
      <c r="AL66" s="47"/>
      <c r="AM66" s="47"/>
    </row>
    <row r="67" ht="15.75" customHeight="1">
      <c r="K67" s="47" t="str">
        <f>IF($A67="", "", IFERROR($E67 * ($I67/$B67) * Premissas!$B$6, 0))</f>
        <v/>
      </c>
      <c r="L67" s="47" t="str">
        <f>IF($A67="", "", IFERROR(($E67 * Premissas!$B$4 * ($I67/$B67) + $E66 * Premissas!$B$5 * ($I66/$B66)) * Premissas!$B$7, 0))</f>
        <v/>
      </c>
      <c r="AI67" s="47" t="str">
        <f>IF($A67="", "", IFERROR(($I67 * Premissas!$B$5) + ($E67 * ($I67/$B67) * Premissas!$B$4 * 12), 0))</f>
        <v/>
      </c>
      <c r="AJ67" s="47" t="str">
        <f>IF($A67="", "", $AI67 * Premissas!$B$12)</f>
        <v/>
      </c>
      <c r="AK67" s="47" t="str">
        <f t="shared" si="13"/>
        <v/>
      </c>
      <c r="AL67" s="47"/>
      <c r="AM67" s="47"/>
    </row>
    <row r="68" ht="15.75" customHeight="1">
      <c r="K68" s="47" t="str">
        <f>IF($A68="", "", IFERROR($E68 * ($I68/$B68) * Premissas!$B$6, 0))</f>
        <v/>
      </c>
      <c r="L68" s="47" t="str">
        <f>IF($A68="", "", IFERROR(($E68 * Premissas!$B$4 * ($I68/$B68) + $E67 * Premissas!$B$5 * ($I67/$B67)) * Premissas!$B$7, 0))</f>
        <v/>
      </c>
      <c r="AI68" s="47" t="str">
        <f>IF($A68="", "", IFERROR(($I68 * Premissas!$B$5) + ($E68 * ($I68/$B68) * Premissas!$B$4 * 12), 0))</f>
        <v/>
      </c>
      <c r="AJ68" s="47" t="str">
        <f>IF($A68="", "", $AI68 * Premissas!$B$12)</f>
        <v/>
      </c>
      <c r="AK68" s="47" t="str">
        <f t="shared" si="13"/>
        <v/>
      </c>
      <c r="AL68" s="47"/>
      <c r="AM68" s="47"/>
    </row>
    <row r="69" ht="15.75" customHeight="1">
      <c r="K69" s="47" t="str">
        <f>IF($A69="", "", IFERROR($E69 * ($I69/$B69) * Premissas!$B$6, 0))</f>
        <v/>
      </c>
      <c r="L69" s="47" t="str">
        <f>IF($A69="", "", IFERROR(($E69 * Premissas!$B$4 * ($I69/$B69) + $E68 * Premissas!$B$5 * ($I68/$B68)) * Premissas!$B$7, 0))</f>
        <v/>
      </c>
      <c r="AI69" s="47" t="str">
        <f>IF($A69="", "", IFERROR(($I69 * Premissas!$B$5) + ($E69 * ($I69/$B69) * Premissas!$B$4 * 12), 0))</f>
        <v/>
      </c>
      <c r="AJ69" s="47" t="str">
        <f>IF($A69="", "", $AI69 * Premissas!$B$12)</f>
        <v/>
      </c>
      <c r="AK69" s="47" t="str">
        <f t="shared" si="13"/>
        <v/>
      </c>
      <c r="AL69" s="47"/>
      <c r="AM69" s="47"/>
    </row>
    <row r="70" ht="15.75" customHeight="1">
      <c r="K70" s="47" t="str">
        <f>IF($A70="", "", IFERROR($E70 * ($I70/$B70) * Premissas!$B$6, 0))</f>
        <v/>
      </c>
      <c r="L70" s="47" t="str">
        <f>IF($A70="", "", IFERROR(($E70 * Premissas!$B$4 * ($I70/$B70) + $E69 * Premissas!$B$5 * ($I69/$B69)) * Premissas!$B$7, 0))</f>
        <v/>
      </c>
      <c r="AI70" s="47" t="str">
        <f>IF($A70="", "", IFERROR(($I70 * Premissas!$B$5) + ($E70 * ($I70/$B70) * Premissas!$B$4 * 12), 0))</f>
        <v/>
      </c>
      <c r="AJ70" s="47" t="str">
        <f>IF($A70="", "", $AI70 * Premissas!$B$12)</f>
        <v/>
      </c>
      <c r="AK70" s="47" t="str">
        <f t="shared" si="13"/>
        <v/>
      </c>
      <c r="AL70" s="47"/>
      <c r="AM70" s="47"/>
    </row>
    <row r="71" ht="15.75" customHeight="1">
      <c r="K71" s="47" t="str">
        <f>IF($A71="", "", IFERROR($E71 * ($I71/$B71) * Premissas!$B$6, 0))</f>
        <v/>
      </c>
      <c r="L71" s="47" t="str">
        <f>IF($A71="", "", IFERROR(($E71 * Premissas!$B$4 * ($I71/$B71) + $E70 * Premissas!$B$5 * ($I70/$B70)) * Premissas!$B$7, 0))</f>
        <v/>
      </c>
      <c r="AI71" s="47" t="str">
        <f>IF($A71="", "", IFERROR(($I71 * Premissas!$B$5) + ($E71 * ($I71/$B71) * Premissas!$B$4 * 12), 0))</f>
        <v/>
      </c>
      <c r="AJ71" s="47" t="str">
        <f>IF($A71="", "", $AI71 * Premissas!$B$12)</f>
        <v/>
      </c>
      <c r="AK71" s="47" t="str">
        <f t="shared" si="13"/>
        <v/>
      </c>
      <c r="AL71" s="47"/>
      <c r="AM71" s="47"/>
    </row>
    <row r="72" ht="15.75" customHeight="1">
      <c r="K72" s="47" t="str">
        <f>IF($A72="", "", IFERROR($E72 * ($I72/$B72) * Premissas!$B$6, 0))</f>
        <v/>
      </c>
      <c r="L72" s="47" t="str">
        <f>IF($A72="", "", IFERROR(($E72 * Premissas!$B$4 * ($I72/$B72) + $E71 * Premissas!$B$5 * ($I71/$B71)) * Premissas!$B$7, 0))</f>
        <v/>
      </c>
      <c r="AI72" s="47" t="str">
        <f>IF($A72="", "", IFERROR(($I72 * Premissas!$B$5) + ($E72 * ($I72/$B72) * Premissas!$B$4 * 12), 0))</f>
        <v/>
      </c>
      <c r="AJ72" s="47" t="str">
        <f>IF($A72="", "", $AI72 * Premissas!$B$12)</f>
        <v/>
      </c>
      <c r="AK72" s="47" t="str">
        <f t="shared" si="13"/>
        <v/>
      </c>
      <c r="AL72" s="47"/>
      <c r="AM72" s="47"/>
    </row>
    <row r="73" ht="15.75" customHeight="1">
      <c r="K73" s="47" t="str">
        <f>IF($A73="", "", IFERROR($E73 * ($I73/$B73) * Premissas!$B$6, 0))</f>
        <v/>
      </c>
      <c r="L73" s="47" t="str">
        <f>IF($A73="", "", IFERROR(($E73 * Premissas!$B$4 * ($I73/$B73) + $E72 * Premissas!$B$5 * ($I72/$B72)) * Premissas!$B$7, 0))</f>
        <v/>
      </c>
      <c r="AI73" s="47" t="str">
        <f>IF($A73="", "", IFERROR(($I73 * Premissas!$B$5) + ($E73 * ($I73/$B73) * Premissas!$B$4 * 12), 0))</f>
        <v/>
      </c>
      <c r="AJ73" s="47" t="str">
        <f>IF($A73="", "", $AI73 * Premissas!$B$12)</f>
        <v/>
      </c>
      <c r="AK73" s="47" t="str">
        <f t="shared" si="13"/>
        <v/>
      </c>
      <c r="AL73" s="47"/>
      <c r="AM73" s="47"/>
    </row>
    <row r="74" ht="15.75" customHeight="1">
      <c r="K74" s="47" t="str">
        <f>IF($A74="", "", IFERROR($E74 * ($I74/$B74) * Premissas!$B$6, 0))</f>
        <v/>
      </c>
      <c r="L74" s="47" t="str">
        <f>IF($A74="", "", IFERROR(($E74 * Premissas!$B$4 * ($I74/$B74) + $E73 * Premissas!$B$5 * ($I73/$B73)) * Premissas!$B$7, 0))</f>
        <v/>
      </c>
      <c r="AI74" s="47" t="str">
        <f>IF($A74="", "", IFERROR(($I74 * Premissas!$B$5) + ($E74 * ($I74/$B74) * Premissas!$B$4 * 12), 0))</f>
        <v/>
      </c>
      <c r="AJ74" s="47" t="str">
        <f>IF($A74="", "", $AI74 * Premissas!$B$12)</f>
        <v/>
      </c>
      <c r="AK74" s="47" t="str">
        <f t="shared" si="13"/>
        <v/>
      </c>
      <c r="AL74" s="47"/>
      <c r="AM74" s="47"/>
    </row>
    <row r="75" ht="15.75" customHeight="1">
      <c r="K75" s="47" t="str">
        <f>IF($A75="", "", IFERROR($E75 * ($I75/$B75) * Premissas!$B$6, 0))</f>
        <v/>
      </c>
      <c r="L75" s="47" t="str">
        <f>IF($A75="", "", IFERROR(($E75 * Premissas!$B$4 * ($I75/$B75) + $E74 * Premissas!$B$5 * ($I74/$B74)) * Premissas!$B$7, 0))</f>
        <v/>
      </c>
      <c r="AI75" s="47" t="str">
        <f>IF($A75="", "", IFERROR(($I75 * Premissas!$B$5) + ($E75 * ($I75/$B75) * Premissas!$B$4 * 12), 0))</f>
        <v/>
      </c>
      <c r="AJ75" s="47" t="str">
        <f>IF($A75="", "", $AI75 * Premissas!$B$12)</f>
        <v/>
      </c>
      <c r="AK75" s="47" t="str">
        <f t="shared" si="13"/>
        <v/>
      </c>
      <c r="AL75" s="47"/>
      <c r="AM75" s="47"/>
    </row>
    <row r="76" ht="15.75" customHeight="1">
      <c r="K76" s="47" t="str">
        <f>IF($A76="", "", IFERROR($E76 * ($I76/$B76) * Premissas!$B$6, 0))</f>
        <v/>
      </c>
      <c r="L76" s="47" t="str">
        <f>IF($A76="", "", IFERROR(($E76 * Premissas!$B$4 * ($I76/$B76) + $E75 * Premissas!$B$5 * ($I75/$B75)) * Premissas!$B$7, 0))</f>
        <v/>
      </c>
      <c r="AI76" s="47" t="str">
        <f>IF($A76="", "", IFERROR(($I76 * Premissas!$B$5) + ($E76 * ($I76/$B76) * Premissas!$B$4 * 12), 0))</f>
        <v/>
      </c>
      <c r="AJ76" s="47" t="str">
        <f>IF($A76="", "", $AI76 * Premissas!$B$12)</f>
        <v/>
      </c>
      <c r="AK76" s="47" t="str">
        <f t="shared" si="13"/>
        <v/>
      </c>
      <c r="AL76" s="47"/>
      <c r="AM76" s="47"/>
    </row>
    <row r="77" ht="15.75" customHeight="1">
      <c r="K77" s="47" t="str">
        <f>IF($A77="", "", IFERROR($E77 * ($I77/$B77) * Premissas!$B$6, 0))</f>
        <v/>
      </c>
      <c r="L77" s="47" t="str">
        <f>IF($A77="", "", IFERROR(($E77 * Premissas!$B$4 * ($I77/$B77) + $E76 * Premissas!$B$5 * ($I76/$B76)) * Premissas!$B$7, 0))</f>
        <v/>
      </c>
      <c r="AI77" s="47" t="str">
        <f>IF($A77="", "", IFERROR(($I77 * Premissas!$B$5) + ($E77 * ($I77/$B77) * Premissas!$B$4 * 12), 0))</f>
        <v/>
      </c>
      <c r="AJ77" s="47" t="str">
        <f>IF($A77="", "", $AI77 * Premissas!$B$12)</f>
        <v/>
      </c>
      <c r="AK77" s="47" t="str">
        <f t="shared" si="13"/>
        <v/>
      </c>
      <c r="AL77" s="47"/>
      <c r="AM77" s="47"/>
    </row>
    <row r="78" ht="15.75" customHeight="1">
      <c r="K78" s="47" t="str">
        <f>IF($A78="", "", IFERROR($E78 * ($I78/$B78) * Premissas!$B$6, 0))</f>
        <v/>
      </c>
      <c r="L78" s="47" t="str">
        <f>IF($A78="", "", IFERROR(($E78 * Premissas!$B$4 * ($I78/$B78) + $E77 * Premissas!$B$5 * ($I77/$B77)) * Premissas!$B$7, 0))</f>
        <v/>
      </c>
      <c r="AI78" s="47" t="str">
        <f>IF($A78="", "", IFERROR(($I78 * Premissas!$B$5) + ($E78 * ($I78/$B78) * Premissas!$B$4 * 12), 0))</f>
        <v/>
      </c>
      <c r="AJ78" s="47" t="str">
        <f>IF($A78="", "", $AI78 * Premissas!$B$12)</f>
        <v/>
      </c>
      <c r="AK78" s="47" t="str">
        <f t="shared" si="13"/>
        <v/>
      </c>
      <c r="AL78" s="47"/>
      <c r="AM78" s="47"/>
    </row>
    <row r="79" ht="15.75" customHeight="1">
      <c r="K79" s="47" t="str">
        <f>IF($A79="", "", IFERROR($E79 * ($I79/$B79) * Premissas!$B$6, 0))</f>
        <v/>
      </c>
      <c r="L79" s="47" t="str">
        <f>IF($A79="", "", IFERROR(($E79 * Premissas!$B$4 * ($I79/$B79) + $E78 * Premissas!$B$5 * ($I78/$B78)) * Premissas!$B$7, 0))</f>
        <v/>
      </c>
      <c r="AI79" s="47" t="str">
        <f>IF($A79="", "", IFERROR(($I79 * Premissas!$B$5) + ($E79 * ($I79/$B79) * Premissas!$B$4 * 12), 0))</f>
        <v/>
      </c>
      <c r="AJ79" s="47" t="str">
        <f>IF($A79="", "", $AI79 * Premissas!$B$12)</f>
        <v/>
      </c>
      <c r="AK79" s="47" t="str">
        <f t="shared" si="13"/>
        <v/>
      </c>
      <c r="AL79" s="47"/>
      <c r="AM79" s="47"/>
    </row>
    <row r="80" ht="15.75" customHeight="1">
      <c r="K80" s="47" t="str">
        <f>IF($A80="", "", IFERROR($E80 * ($I80/$B80) * Premissas!$B$6, 0))</f>
        <v/>
      </c>
      <c r="L80" s="47" t="str">
        <f>IF($A80="", "", IFERROR(($E80 * Premissas!$B$4 * ($I80/$B80) + $E79 * Premissas!$B$5 * ($I79/$B79)) * Premissas!$B$7, 0))</f>
        <v/>
      </c>
      <c r="AI80" s="47" t="str">
        <f>IF($A80="", "", IFERROR(($I80 * Premissas!$B$5) + ($E80 * ($I80/$B80) * Premissas!$B$4 * 12), 0))</f>
        <v/>
      </c>
      <c r="AJ80" s="47" t="str">
        <f>IF($A80="", "", $AI80 * Premissas!$B$12)</f>
        <v/>
      </c>
      <c r="AK80" s="47" t="str">
        <f t="shared" si="13"/>
        <v/>
      </c>
      <c r="AL80" s="47"/>
      <c r="AM80" s="47"/>
    </row>
    <row r="81" ht="15.75" customHeight="1">
      <c r="K81" s="47" t="str">
        <f>IF($A81="", "", IFERROR($E81 * ($I81/$B81) * Premissas!$B$6, 0))</f>
        <v/>
      </c>
      <c r="L81" s="47" t="str">
        <f>IF($A81="", "", IFERROR(($E81 * Premissas!$B$4 * ($I81/$B81) + $E80 * Premissas!$B$5 * ($I80/$B80)) * Premissas!$B$7, 0))</f>
        <v/>
      </c>
      <c r="AI81" s="47" t="str">
        <f>IF($A81="", "", IFERROR(($I81 * Premissas!$B$5) + ($E81 * ($I81/$B81) * Premissas!$B$4 * 12), 0))</f>
        <v/>
      </c>
      <c r="AJ81" s="47" t="str">
        <f>IF($A81="", "", $AI81 * Premissas!$B$12)</f>
        <v/>
      </c>
      <c r="AK81" s="47" t="str">
        <f t="shared" si="13"/>
        <v/>
      </c>
      <c r="AL81" s="47"/>
      <c r="AM81" s="47"/>
    </row>
    <row r="82" ht="15.75" customHeight="1">
      <c r="K82" s="47" t="str">
        <f>IF($A82="", "", IFERROR($E82 * ($I82/$B82) * Premissas!$B$6, 0))</f>
        <v/>
      </c>
      <c r="L82" s="47" t="str">
        <f>IF($A82="", "", IFERROR(($E82 * Premissas!$B$4 * ($I82/$B82) + $E81 * Premissas!$B$5 * ($I81/$B81)) * Premissas!$B$7, 0))</f>
        <v/>
      </c>
      <c r="AI82" s="47" t="str">
        <f>IF($A82="", "", IFERROR(($I82 * Premissas!$B$5) + ($E82 * ($I82/$B82) * Premissas!$B$4 * 12), 0))</f>
        <v/>
      </c>
      <c r="AJ82" s="47" t="str">
        <f>IF($A82="", "", $AI82 * Premissas!$B$12)</f>
        <v/>
      </c>
      <c r="AK82" s="47" t="str">
        <f t="shared" si="13"/>
        <v/>
      </c>
      <c r="AL82" s="47"/>
      <c r="AM82" s="47"/>
    </row>
    <row r="83" ht="15.75" customHeight="1">
      <c r="K83" s="47" t="str">
        <f>IF($A83="", "", IFERROR($E83 * ($I83/$B83) * Premissas!$B$6, 0))</f>
        <v/>
      </c>
      <c r="L83" s="47" t="str">
        <f>IF($A83="", "", IFERROR(($E83 * Premissas!$B$4 * ($I83/$B83) + $E82 * Premissas!$B$5 * ($I82/$B82)) * Premissas!$B$7, 0))</f>
        <v/>
      </c>
      <c r="AI83" s="47" t="str">
        <f>IF($A83="", "", IFERROR(($I83 * Premissas!$B$5) + ($E83 * ($I83/$B83) * Premissas!$B$4 * 12), 0))</f>
        <v/>
      </c>
      <c r="AJ83" s="47" t="str">
        <f>IF($A83="", "", $AI83 * Premissas!$B$12)</f>
        <v/>
      </c>
      <c r="AK83" s="47" t="str">
        <f t="shared" si="13"/>
        <v/>
      </c>
      <c r="AL83" s="47"/>
      <c r="AM83" s="47"/>
    </row>
    <row r="84" ht="15.75" customHeight="1">
      <c r="K84" s="47" t="str">
        <f>IF($A84="", "", IFERROR($E84 * ($I84/$B84) * Premissas!$B$6, 0))</f>
        <v/>
      </c>
      <c r="L84" s="47" t="str">
        <f>IF($A84="", "", IFERROR(($E84 * Premissas!$B$4 * ($I84/$B84) + $E83 * Premissas!$B$5 * ($I83/$B83)) * Premissas!$B$7, 0))</f>
        <v/>
      </c>
      <c r="AI84" s="47" t="str">
        <f>IF($A84="", "", IFERROR(($I84 * Premissas!$B$5) + ($E84 * ($I84/$B84) * Premissas!$B$4 * 12), 0))</f>
        <v/>
      </c>
      <c r="AJ84" s="47" t="str">
        <f>IF($A84="", "", $AI84 * Premissas!$B$12)</f>
        <v/>
      </c>
      <c r="AK84" s="47" t="str">
        <f t="shared" si="13"/>
        <v/>
      </c>
      <c r="AL84" s="47"/>
      <c r="AM84" s="47"/>
    </row>
    <row r="85" ht="15.75" customHeight="1">
      <c r="K85" s="47" t="str">
        <f>IF($A85="", "", IFERROR($E85 * ($I85/$B85) * Premissas!$B$6, 0))</f>
        <v/>
      </c>
      <c r="L85" s="47" t="str">
        <f>IF($A85="", "", IFERROR(($E85 * Premissas!$B$4 * ($I85/$B85) + $E84 * Premissas!$B$5 * ($I84/$B84)) * Premissas!$B$7, 0))</f>
        <v/>
      </c>
      <c r="AI85" s="47" t="str">
        <f>IF($A85="", "", IFERROR(($I85 * Premissas!$B$5) + ($E85 * ($I85/$B85) * Premissas!$B$4 * 12), 0))</f>
        <v/>
      </c>
      <c r="AJ85" s="47" t="str">
        <f>IF($A85="", "", $AI85 * Premissas!$B$12)</f>
        <v/>
      </c>
      <c r="AK85" s="47" t="str">
        <f t="shared" si="13"/>
        <v/>
      </c>
      <c r="AL85" s="47"/>
      <c r="AM85" s="47"/>
    </row>
    <row r="86" ht="15.75" customHeight="1">
      <c r="K86" s="47" t="str">
        <f>IF($A86="", "", IFERROR($E86 * ($I86/$B86) * Premissas!$B$6, 0))</f>
        <v/>
      </c>
      <c r="L86" s="47" t="str">
        <f>IF($A86="", "", IFERROR(($E86 * Premissas!$B$4 * ($I86/$B86) + $E85 * Premissas!$B$5 * ($I85/$B85)) * Premissas!$B$7, 0))</f>
        <v/>
      </c>
      <c r="AI86" s="47" t="str">
        <f>IF($A86="", "", IFERROR(($I86 * Premissas!$B$5) + ($E86 * ($I86/$B86) * Premissas!$B$4 * 12), 0))</f>
        <v/>
      </c>
      <c r="AJ86" s="47" t="str">
        <f>IF($A86="", "", $AI86 * Premissas!$B$12)</f>
        <v/>
      </c>
      <c r="AK86" s="47" t="str">
        <f t="shared" si="13"/>
        <v/>
      </c>
      <c r="AL86" s="47"/>
      <c r="AM86" s="47"/>
    </row>
    <row r="87" ht="15.75" customHeight="1">
      <c r="K87" s="47" t="str">
        <f>IF($A87="", "", IFERROR($E87 * ($I87/$B87) * Premissas!$B$6, 0))</f>
        <v/>
      </c>
      <c r="L87" s="47" t="str">
        <f>IF($A87="", "", IFERROR(($E87 * Premissas!$B$4 * ($I87/$B87) + $E86 * Premissas!$B$5 * ($I86/$B86)) * Premissas!$B$7, 0))</f>
        <v/>
      </c>
      <c r="AI87" s="47" t="str">
        <f>IF($A87="", "", IFERROR(($I87 * Premissas!$B$5) + ($E87 * ($I87/$B87) * Premissas!$B$4 * 12), 0))</f>
        <v/>
      </c>
      <c r="AJ87" s="47" t="str">
        <f>IF($A87="", "", $AI87 * Premissas!$B$12)</f>
        <v/>
      </c>
      <c r="AK87" s="47" t="str">
        <f t="shared" si="13"/>
        <v/>
      </c>
      <c r="AL87" s="47"/>
      <c r="AM87" s="47"/>
    </row>
    <row r="88" ht="15.75" customHeight="1">
      <c r="K88" s="47" t="str">
        <f>IF($A88="", "", IFERROR($E88 * ($I88/$B88) * Premissas!$B$6, 0))</f>
        <v/>
      </c>
      <c r="L88" s="47" t="str">
        <f>IF($A88="", "", IFERROR(($E88 * Premissas!$B$4 * ($I88/$B88) + $E87 * Premissas!$B$5 * ($I87/$B87)) * Premissas!$B$7, 0))</f>
        <v/>
      </c>
      <c r="AI88" s="47" t="str">
        <f>IF($A88="", "", IFERROR(($I88 * Premissas!$B$5) + ($E88 * ($I88/$B88) * Premissas!$B$4 * 12), 0))</f>
        <v/>
      </c>
      <c r="AJ88" s="47" t="str">
        <f>IF($A88="", "", $AI88 * Premissas!$B$12)</f>
        <v/>
      </c>
      <c r="AK88" s="47" t="str">
        <f t="shared" si="13"/>
        <v/>
      </c>
      <c r="AL88" s="47"/>
      <c r="AM88" s="47"/>
    </row>
    <row r="89" ht="15.75" customHeight="1">
      <c r="K89" s="47" t="str">
        <f>IF($A89="", "", IFERROR($E89 * ($I89/$B89) * Premissas!$B$6, 0))</f>
        <v/>
      </c>
      <c r="L89" s="47" t="str">
        <f>IF($A89="", "", IFERROR(($E89 * Premissas!$B$4 * ($I89/$B89) + $E88 * Premissas!$B$5 * ($I88/$B88)) * Premissas!$B$7, 0))</f>
        <v/>
      </c>
      <c r="AI89" s="47" t="str">
        <f>IF($A89="", "", IFERROR(($I89 * Premissas!$B$5) + ($E89 * ($I89/$B89) * Premissas!$B$4 * 12), 0))</f>
        <v/>
      </c>
      <c r="AJ89" s="47" t="str">
        <f>IF($A89="", "", $AI89 * Premissas!$B$12)</f>
        <v/>
      </c>
      <c r="AK89" s="47" t="str">
        <f t="shared" si="13"/>
        <v/>
      </c>
      <c r="AL89" s="47"/>
      <c r="AM89" s="47"/>
    </row>
    <row r="90" ht="15.75" customHeight="1">
      <c r="K90" s="47" t="str">
        <f>IF($A90="", "", IFERROR($E90 * ($I90/$B90) * Premissas!$B$6, 0))</f>
        <v/>
      </c>
      <c r="L90" s="47" t="str">
        <f>IF($A90="", "", IFERROR(($E90 * Premissas!$B$4 * ($I90/$B90) + $E89 * Premissas!$B$5 * ($I89/$B89)) * Premissas!$B$7, 0))</f>
        <v/>
      </c>
      <c r="AI90" s="47" t="str">
        <f>IF($A90="", "", IFERROR(($I90 * Premissas!$B$5) + ($E90 * ($I90/$B90) * Premissas!$B$4 * 12), 0))</f>
        <v/>
      </c>
      <c r="AJ90" s="47" t="str">
        <f>IF($A90="", "", $AI90 * Premissas!$B$12)</f>
        <v/>
      </c>
      <c r="AK90" s="47" t="str">
        <f t="shared" si="13"/>
        <v/>
      </c>
      <c r="AL90" s="47"/>
      <c r="AM90" s="47"/>
    </row>
    <row r="91" ht="15.75" customHeight="1">
      <c r="K91" s="47" t="str">
        <f>IF($A91="", "", IFERROR($E91 * ($I91/$B91) * Premissas!$B$6, 0))</f>
        <v/>
      </c>
      <c r="L91" s="47" t="str">
        <f>IF($A91="", "", IFERROR(($E91 * Premissas!$B$4 * ($I91/$B91) + $E90 * Premissas!$B$5 * ($I90/$B90)) * Premissas!$B$7, 0))</f>
        <v/>
      </c>
      <c r="AI91" s="47" t="str">
        <f>IF($A91="", "", IFERROR(($I91 * Premissas!$B$5) + ($E91 * ($I91/$B91) * Premissas!$B$4 * 12), 0))</f>
        <v/>
      </c>
      <c r="AJ91" s="47" t="str">
        <f>IF($A91="", "", $AI91 * Premissas!$B$12)</f>
        <v/>
      </c>
      <c r="AK91" s="47" t="str">
        <f t="shared" si="13"/>
        <v/>
      </c>
      <c r="AL91" s="47"/>
      <c r="AM91" s="47"/>
    </row>
    <row r="92" ht="15.75" customHeight="1">
      <c r="K92" s="47" t="str">
        <f>IF($A92="", "", IFERROR($E92 * ($I92/$B92) * Premissas!$B$6, 0))</f>
        <v/>
      </c>
      <c r="L92" s="47" t="str">
        <f>IF($A92="", "", IFERROR(($E92 * Premissas!$B$4 * ($I92/$B92) + $E91 * Premissas!$B$5 * ($I91/$B91)) * Premissas!$B$7, 0))</f>
        <v/>
      </c>
      <c r="AI92" s="47" t="str">
        <f>IF($A92="", "", IFERROR(($I92 * Premissas!$B$5) + ($E92 * ($I92/$B92) * Premissas!$B$4 * 12), 0))</f>
        <v/>
      </c>
      <c r="AJ92" s="47" t="str">
        <f>IF($A92="", "", $AI92 * Premissas!$B$12)</f>
        <v/>
      </c>
      <c r="AK92" s="47" t="str">
        <f t="shared" si="13"/>
        <v/>
      </c>
      <c r="AL92" s="47"/>
      <c r="AM92" s="47"/>
    </row>
    <row r="93" ht="15.75" customHeight="1">
      <c r="K93" s="47" t="str">
        <f>IF($A93="", "", IFERROR($E93 * ($I93/$B93) * Premissas!$B$6, 0))</f>
        <v/>
      </c>
      <c r="L93" s="47" t="str">
        <f>IF($A93="", "", IFERROR(($E93 * Premissas!$B$4 * ($I93/$B93) + $E92 * Premissas!$B$5 * ($I92/$B92)) * Premissas!$B$7, 0))</f>
        <v/>
      </c>
      <c r="AI93" s="47" t="str">
        <f>IF($A93="", "", IFERROR(($I93 * Premissas!$B$5) + ($E93 * ($I93/$B93) * Premissas!$B$4 * 12), 0))</f>
        <v/>
      </c>
      <c r="AJ93" s="47" t="str">
        <f>IF($A93="", "", $AI93 * Premissas!$B$12)</f>
        <v/>
      </c>
      <c r="AK93" s="47" t="str">
        <f t="shared" si="13"/>
        <v/>
      </c>
      <c r="AL93" s="47"/>
      <c r="AM93" s="47"/>
    </row>
    <row r="94" ht="15.75" customHeight="1">
      <c r="K94" s="47" t="str">
        <f>IF($A94="", "", IFERROR($E94 * ($I94/$B94) * Premissas!$B$6, 0))</f>
        <v/>
      </c>
      <c r="L94" s="47" t="str">
        <f>IF($A94="", "", IFERROR(($E94 * Premissas!$B$4 * ($I94/$B94) + $E93 * Premissas!$B$5 * ($I93/$B93)) * Premissas!$B$7, 0))</f>
        <v/>
      </c>
      <c r="AI94" s="47" t="str">
        <f>IF($A94="", "", IFERROR(($I94 * Premissas!$B$5) + ($E94 * ($I94/$B94) * Premissas!$B$4 * 12), 0))</f>
        <v/>
      </c>
      <c r="AJ94" s="47" t="str">
        <f>IF($A94="", "", $AI94 * Premissas!$B$12)</f>
        <v/>
      </c>
      <c r="AK94" s="47" t="str">
        <f t="shared" si="13"/>
        <v/>
      </c>
      <c r="AL94" s="47"/>
      <c r="AM94" s="47"/>
    </row>
    <row r="95" ht="15.75" customHeight="1">
      <c r="K95" s="47" t="str">
        <f>IF($A95="", "", IFERROR($E95 * ($I95/$B95) * Premissas!$B$6, 0))</f>
        <v/>
      </c>
      <c r="L95" s="47" t="str">
        <f>IF($A95="", "", IFERROR(($E95 * Premissas!$B$4 * ($I95/$B95) + $E94 * Premissas!$B$5 * ($I94/$B94)) * Premissas!$B$7, 0))</f>
        <v/>
      </c>
      <c r="AI95" s="47" t="str">
        <f>IF($A95="", "", IFERROR(($I95 * Premissas!$B$5) + ($E95 * ($I95/$B95) * Premissas!$B$4 * 12), 0))</f>
        <v/>
      </c>
      <c r="AJ95" s="47" t="str">
        <f>IF($A95="", "", $AI95 * Premissas!$B$12)</f>
        <v/>
      </c>
      <c r="AK95" s="47" t="str">
        <f t="shared" si="13"/>
        <v/>
      </c>
      <c r="AL95" s="47"/>
      <c r="AM95" s="47"/>
    </row>
    <row r="96" ht="15.75" customHeight="1">
      <c r="K96" s="47" t="str">
        <f>IF($A96="", "", IFERROR($E96 * ($I96/$B96) * Premissas!$B$6, 0))</f>
        <v/>
      </c>
      <c r="L96" s="47" t="str">
        <f>IF($A96="", "", IFERROR(($E96 * Premissas!$B$4 * ($I96/$B96) + $E95 * Premissas!$B$5 * ($I95/$B95)) * Premissas!$B$7, 0))</f>
        <v/>
      </c>
      <c r="AI96" s="47" t="str">
        <f>IF($A96="", "", IFERROR(($I96 * Premissas!$B$5) + ($E96 * ($I96/$B96) * Premissas!$B$4 * 12), 0))</f>
        <v/>
      </c>
      <c r="AJ96" s="47" t="str">
        <f>IF($A96="", "", $AI96 * Premissas!$B$12)</f>
        <v/>
      </c>
      <c r="AK96" s="47" t="str">
        <f t="shared" si="13"/>
        <v/>
      </c>
      <c r="AL96" s="47"/>
      <c r="AM96" s="47"/>
    </row>
    <row r="97" ht="15.75" customHeight="1">
      <c r="K97" s="47" t="str">
        <f>IF($A97="", "", IFERROR($E97 * ($I97/$B97) * Premissas!$B$6, 0))</f>
        <v/>
      </c>
      <c r="L97" s="47" t="str">
        <f>IF($A97="", "", IFERROR(($E97 * Premissas!$B$4 * ($I97/$B97) + $E96 * Premissas!$B$5 * ($I96/$B96)) * Premissas!$B$7, 0))</f>
        <v/>
      </c>
      <c r="AI97" s="47" t="str">
        <f>IF($A97="", "", IFERROR(($I97 * Premissas!$B$5) + ($E97 * ($I97/$B97) * Premissas!$B$4 * 12), 0))</f>
        <v/>
      </c>
      <c r="AJ97" s="47" t="str">
        <f>IF($A97="", "", $AI97 * Premissas!$B$12)</f>
        <v/>
      </c>
      <c r="AK97" s="47" t="str">
        <f t="shared" si="13"/>
        <v/>
      </c>
      <c r="AL97" s="47"/>
      <c r="AM97" s="47"/>
    </row>
    <row r="98" ht="15.75" customHeight="1">
      <c r="K98" s="47" t="str">
        <f>IF($A98="", "", IFERROR($E98 * ($I98/$B98) * Premissas!$B$6, 0))</f>
        <v/>
      </c>
      <c r="L98" s="47" t="str">
        <f>IF($A98="", "", IFERROR(($E98 * Premissas!$B$4 * ($I98/$B98) + $E97 * Premissas!$B$5 * ($I97/$B97)) * Premissas!$B$7, 0))</f>
        <v/>
      </c>
      <c r="AI98" s="47" t="str">
        <f>IF($A98="", "", IFERROR(($I98 * Premissas!$B$5) + ($E98 * ($I98/$B98) * Premissas!$B$4 * 12), 0))</f>
        <v/>
      </c>
      <c r="AJ98" s="47" t="str">
        <f>IF($A98="", "", $AI98 * Premissas!$B$12)</f>
        <v/>
      </c>
      <c r="AK98" s="47" t="str">
        <f t="shared" si="13"/>
        <v/>
      </c>
      <c r="AL98" s="47"/>
      <c r="AM98" s="47"/>
    </row>
    <row r="99" ht="15.75" customHeight="1">
      <c r="K99" s="47" t="str">
        <f>IF($A99="", "", IFERROR($E99 * ($I99/$B99) * Premissas!$B$6, 0))</f>
        <v/>
      </c>
      <c r="L99" s="47" t="str">
        <f>IF($A99="", "", IFERROR(($E99 * Premissas!$B$4 * ($I99/$B99) + $E98 * Premissas!$B$5 * ($I98/$B98)) * Premissas!$B$7, 0))</f>
        <v/>
      </c>
      <c r="AI99" s="47" t="str">
        <f>IF($A99="", "", IFERROR(($I99 * Premissas!$B$5) + ($E99 * ($I99/$B99) * Premissas!$B$4 * 12), 0))</f>
        <v/>
      </c>
      <c r="AJ99" s="47" t="str">
        <f>IF($A99="", "", $AI99 * Premissas!$B$12)</f>
        <v/>
      </c>
      <c r="AK99" s="47" t="str">
        <f t="shared" si="13"/>
        <v/>
      </c>
      <c r="AL99" s="47"/>
      <c r="AM99" s="47"/>
    </row>
    <row r="100" ht="15.75" customHeight="1">
      <c r="K100" s="47" t="str">
        <f>IF($A100="", "", IFERROR($E100 * ($I100/$B100) * Premissas!$B$6, 0))</f>
        <v/>
      </c>
      <c r="L100" s="47" t="str">
        <f>IF($A100="", "", IFERROR(($E100 * Premissas!$B$4 * ($I100/$B100) + $E99 * Premissas!$B$5 * ($I99/$B99)) * Premissas!$B$7, 0))</f>
        <v/>
      </c>
      <c r="AI100" s="47" t="str">
        <f>IF($A100="", "", IFERROR(($I100 * Premissas!$B$5) + ($E100 * ($I100/$B100) * Premissas!$B$4 * 12), 0))</f>
        <v/>
      </c>
      <c r="AJ100" s="47" t="str">
        <f>IF($A100="", "", $AI100 * Premissas!$B$12)</f>
        <v/>
      </c>
      <c r="AK100" s="47" t="str">
        <f t="shared" si="13"/>
        <v/>
      </c>
      <c r="AL100" s="47"/>
      <c r="AM100" s="47"/>
    </row>
    <row r="101" ht="15.75" customHeight="1">
      <c r="K101" s="47" t="str">
        <f>IF($A101="", "", IFERROR($E101 * ($I101/$B101) * Premissas!$B$6, 0))</f>
        <v/>
      </c>
      <c r="L101" s="47" t="str">
        <f>IF($A101="", "", IFERROR(($E101 * Premissas!$B$4 * ($I101/$B101) + $E100 * Premissas!$B$5 * ($I100/$B100)) * Premissas!$B$7, 0))</f>
        <v/>
      </c>
      <c r="AI101" s="47" t="str">
        <f>IF($A101="", "", IFERROR(($I101 * Premissas!$B$5) + ($E101 * ($I101/$B101) * Premissas!$B$4 * 12), 0))</f>
        <v/>
      </c>
      <c r="AJ101" s="47" t="str">
        <f>IF($A101="", "", $AI101 * Premissas!$B$12)</f>
        <v/>
      </c>
      <c r="AK101" s="47" t="str">
        <f t="shared" si="13"/>
        <v/>
      </c>
      <c r="AL101" s="47"/>
      <c r="AM101" s="47"/>
    </row>
    <row r="102" ht="15.75" customHeight="1">
      <c r="K102" s="47" t="str">
        <f>IF($A102="", "", IFERROR($E102 * ($I102/$B102) * Premissas!$B$6, 0))</f>
        <v/>
      </c>
      <c r="L102" s="47" t="str">
        <f>IF($A102="", "", IFERROR(($E102 * Premissas!$B$4 * ($I102/$B102) + $E101 * Premissas!$B$5 * ($I101/$B101)) * Premissas!$B$7, 0))</f>
        <v/>
      </c>
      <c r="AI102" s="47" t="str">
        <f>IF($A102="", "", IFERROR(($I102 * Premissas!$B$5) + ($E102 * ($I102/$B102) * Premissas!$B$4 * 12), 0))</f>
        <v/>
      </c>
      <c r="AJ102" s="47" t="str">
        <f>IF($A102="", "", $AI102 * Premissas!$B$12)</f>
        <v/>
      </c>
      <c r="AK102" s="47" t="str">
        <f t="shared" si="13"/>
        <v/>
      </c>
      <c r="AL102" s="47"/>
      <c r="AM102" s="47"/>
    </row>
    <row r="103" ht="15.75" customHeight="1">
      <c r="K103" s="47" t="str">
        <f>IF($A103="", "", IFERROR($E103 * ($I103/$B103) * Premissas!$B$6, 0))</f>
        <v/>
      </c>
      <c r="L103" s="47" t="str">
        <f>IF($A103="", "", IFERROR(($E103 * Premissas!$B$4 * ($I103/$B103) + $E102 * Premissas!$B$5 * ($I102/$B102)) * Premissas!$B$7, 0))</f>
        <v/>
      </c>
      <c r="AI103" s="47" t="str">
        <f>IF($A103="", "", IFERROR(($I103 * Premissas!$B$5) + ($E103 * ($I103/$B103) * Premissas!$B$4 * 12), 0))</f>
        <v/>
      </c>
      <c r="AJ103" s="47" t="str">
        <f>IF($A103="", "", $AI103 * Premissas!$B$12)</f>
        <v/>
      </c>
      <c r="AK103" s="47" t="str">
        <f t="shared" si="13"/>
        <v/>
      </c>
      <c r="AL103" s="47"/>
      <c r="AM103" s="47"/>
    </row>
    <row r="104" ht="15.75" customHeight="1">
      <c r="K104" s="47" t="str">
        <f>IF($A104="", "", IFERROR($E104 * ($I104/$B104) * Premissas!$B$6, 0))</f>
        <v/>
      </c>
      <c r="L104" s="47" t="str">
        <f>IF($A104="", "", IFERROR(($E104 * Premissas!$B$4 * ($I104/$B104) + $E103 * Premissas!$B$5 * ($I103/$B103)) * Premissas!$B$7, 0))</f>
        <v/>
      </c>
      <c r="AI104" s="47" t="str">
        <f>IF($A104="", "", IFERROR(($I104 * Premissas!$B$5) + ($E104 * ($I104/$B104) * Premissas!$B$4 * 12), 0))</f>
        <v/>
      </c>
      <c r="AJ104" s="47" t="str">
        <f>IF($A104="", "", $AI104 * Premissas!$B$12)</f>
        <v/>
      </c>
      <c r="AK104" s="47" t="str">
        <f t="shared" si="13"/>
        <v/>
      </c>
      <c r="AL104" s="47"/>
      <c r="AM104" s="47"/>
    </row>
    <row r="105" ht="15.75" customHeight="1">
      <c r="K105" s="47" t="str">
        <f>IF($A105="", "", IFERROR($E105 * ($I105/$B105) * Premissas!$B$6, 0))</f>
        <v/>
      </c>
      <c r="L105" s="47" t="str">
        <f>IF($A105="", "", IFERROR(($E105 * Premissas!$B$4 * ($I105/$B105) + $E104 * Premissas!$B$5 * ($I104/$B104)) * Premissas!$B$7, 0))</f>
        <v/>
      </c>
      <c r="AI105" s="47" t="str">
        <f>IF($A105="", "", IFERROR(($I105 * Premissas!$B$5) + ($E105 * ($I105/$B105) * Premissas!$B$4 * 12), 0))</f>
        <v/>
      </c>
      <c r="AJ105" s="47" t="str">
        <f>IF($A105="", "", $AI105 * Premissas!$B$12)</f>
        <v/>
      </c>
      <c r="AK105" s="47" t="str">
        <f t="shared" si="13"/>
        <v/>
      </c>
      <c r="AL105" s="47"/>
      <c r="AM105" s="47"/>
    </row>
    <row r="106" ht="15.75" customHeight="1">
      <c r="K106" s="47" t="str">
        <f>IF($A106="", "", IFERROR($E106 * ($I106/$B106) * Premissas!$B$6, 0))</f>
        <v/>
      </c>
      <c r="L106" s="47" t="str">
        <f>IF($A106="", "", IFERROR(($E106 * Premissas!$B$4 * ($I106/$B106) + $E105 * Premissas!$B$5 * ($I105/$B105)) * Premissas!$B$7, 0))</f>
        <v/>
      </c>
      <c r="AI106" s="47" t="str">
        <f>IF($A106="", "", IFERROR(($I106 * Premissas!$B$5) + ($E106 * ($I106/$B106) * Premissas!$B$4 * 12), 0))</f>
        <v/>
      </c>
      <c r="AJ106" s="47" t="str">
        <f>IF($A106="", "", $AI106 * Premissas!$B$12)</f>
        <v/>
      </c>
      <c r="AK106" s="47" t="str">
        <f t="shared" si="13"/>
        <v/>
      </c>
      <c r="AL106" s="47"/>
      <c r="AM106" s="47"/>
    </row>
    <row r="107" ht="15.75" customHeight="1">
      <c r="K107" s="47" t="str">
        <f>IF($A107="", "", IFERROR($E107 * ($I107/$B107) * Premissas!$B$6, 0))</f>
        <v/>
      </c>
      <c r="L107" s="47" t="str">
        <f>IF($A107="", "", IFERROR(($E107 * Premissas!$B$4 * ($I107/$B107) + $E106 * Premissas!$B$5 * ($I106/$B106)) * Premissas!$B$7, 0))</f>
        <v/>
      </c>
      <c r="AI107" s="47" t="str">
        <f>IF($A107="", "", IFERROR(($I107 * Premissas!$B$5) + ($E107 * ($I107/$B107) * Premissas!$B$4 * 12), 0))</f>
        <v/>
      </c>
      <c r="AJ107" s="47" t="str">
        <f>IF($A107="", "", $AI107 * Premissas!$B$12)</f>
        <v/>
      </c>
      <c r="AK107" s="47" t="str">
        <f t="shared" si="13"/>
        <v/>
      </c>
      <c r="AL107" s="47"/>
      <c r="AM107" s="47"/>
    </row>
    <row r="108" ht="15.75" customHeight="1">
      <c r="K108" s="47" t="str">
        <f>IF($A108="", "", IFERROR($E108 * ($I108/$B108) * Premissas!$B$6, 0))</f>
        <v/>
      </c>
      <c r="L108" s="47" t="str">
        <f>IF($A108="", "", IFERROR(($E108 * Premissas!$B$4 * ($I108/$B108) + $E107 * Premissas!$B$5 * ($I107/$B107)) * Premissas!$B$7, 0))</f>
        <v/>
      </c>
      <c r="AI108" s="47" t="str">
        <f>IF($A108="", "", IFERROR(($I108 * Premissas!$B$5) + ($E108 * ($I108/$B108) * Premissas!$B$4 * 12), 0))</f>
        <v/>
      </c>
      <c r="AJ108" s="47" t="str">
        <f>IF($A108="", "", $AI108 * Premissas!$B$12)</f>
        <v/>
      </c>
      <c r="AK108" s="47" t="str">
        <f t="shared" si="13"/>
        <v/>
      </c>
      <c r="AL108" s="47"/>
      <c r="AM108" s="47"/>
    </row>
    <row r="109" ht="15.75" customHeight="1">
      <c r="K109" s="47" t="str">
        <f>IF($A109="", "", IFERROR($E109 * ($I109/$B109) * Premissas!$B$6, 0))</f>
        <v/>
      </c>
      <c r="L109" s="47" t="str">
        <f>IF($A109="", "", IFERROR(($E109 * Premissas!$B$4 * ($I109/$B109) + $E108 * Premissas!$B$5 * ($I108/$B108)) * Premissas!$B$7, 0))</f>
        <v/>
      </c>
      <c r="AI109" s="47" t="str">
        <f>IF($A109="", "", IFERROR(($I109 * Premissas!$B$5) + ($E109 * ($I109/$B109) * Premissas!$B$4 * 12), 0))</f>
        <v/>
      </c>
      <c r="AJ109" s="47" t="str">
        <f>IF($A109="", "", $AI109 * Premissas!$B$12)</f>
        <v/>
      </c>
      <c r="AK109" s="47" t="str">
        <f t="shared" si="13"/>
        <v/>
      </c>
      <c r="AL109" s="47"/>
      <c r="AM109" s="47"/>
    </row>
    <row r="110" ht="15.75" customHeight="1">
      <c r="K110" s="47" t="str">
        <f>IF($A110="", "", IFERROR($E110 * ($I110/$B110) * Premissas!$B$6, 0))</f>
        <v/>
      </c>
      <c r="L110" s="47" t="str">
        <f>IF($A110="", "", IFERROR(($E110 * Premissas!$B$4 * ($I110/$B110) + $E109 * Premissas!$B$5 * ($I109/$B109)) * Premissas!$B$7, 0))</f>
        <v/>
      </c>
      <c r="AI110" s="47" t="str">
        <f>IF($A110="", "", IFERROR(($I110 * Premissas!$B$5) + ($E110 * ($I110/$B110) * Premissas!$B$4 * 12), 0))</f>
        <v/>
      </c>
      <c r="AJ110" s="47" t="str">
        <f>IF($A110="", "", $AI110 * Premissas!$B$12)</f>
        <v/>
      </c>
      <c r="AK110" s="47" t="str">
        <f t="shared" si="13"/>
        <v/>
      </c>
      <c r="AL110" s="47"/>
      <c r="AM110" s="47"/>
    </row>
    <row r="111" ht="15.75" customHeight="1">
      <c r="K111" s="47" t="str">
        <f>IF($A111="", "", IFERROR($E111 * ($I111/$B111) * Premissas!$B$6, 0))</f>
        <v/>
      </c>
      <c r="L111" s="47" t="str">
        <f>IF($A111="", "", IFERROR(($E111 * Premissas!$B$4 * ($I111/$B111) + $E110 * Premissas!$B$5 * ($I110/$B110)) * Premissas!$B$7, 0))</f>
        <v/>
      </c>
      <c r="AI111" s="47" t="str">
        <f>IF($A111="", "", IFERROR(($I111 * Premissas!$B$5) + ($E111 * ($I111/$B111) * Premissas!$B$4 * 12), 0))</f>
        <v/>
      </c>
      <c r="AJ111" s="47" t="str">
        <f>IF($A111="", "", $AI111 * Premissas!$B$12)</f>
        <v/>
      </c>
      <c r="AK111" s="47" t="str">
        <f t="shared" si="13"/>
        <v/>
      </c>
      <c r="AL111" s="47"/>
      <c r="AM111" s="47"/>
    </row>
    <row r="112" ht="15.75" customHeight="1">
      <c r="K112" s="47" t="str">
        <f>IF($A112="", "", IFERROR($E112 * ($I112/$B112) * Premissas!$B$6, 0))</f>
        <v/>
      </c>
      <c r="L112" s="47" t="str">
        <f>IF($A112="", "", IFERROR(($E112 * Premissas!$B$4 * ($I112/$B112) + $E111 * Premissas!$B$5 * ($I111/$B111)) * Premissas!$B$7, 0))</f>
        <v/>
      </c>
      <c r="AI112" s="47" t="str">
        <f>IF($A112="", "", IFERROR(($I112 * Premissas!$B$5) + ($E112 * ($I112/$B112) * Premissas!$B$4 * 12), 0))</f>
        <v/>
      </c>
      <c r="AJ112" s="47" t="str">
        <f>IF($A112="", "", $AI112 * Premissas!$B$12)</f>
        <v/>
      </c>
      <c r="AK112" s="47" t="str">
        <f t="shared" si="13"/>
        <v/>
      </c>
      <c r="AL112" s="47"/>
      <c r="AM112" s="47"/>
    </row>
    <row r="113" ht="15.75" customHeight="1">
      <c r="K113" s="47" t="str">
        <f>IF($A113="", "", IFERROR($E113 * ($I113/$B113) * Premissas!$B$6, 0))</f>
        <v/>
      </c>
      <c r="L113" s="47" t="str">
        <f>IF($A113="", "", IFERROR(($E113 * Premissas!$B$4 * ($I113/$B113) + $E112 * Premissas!$B$5 * ($I112/$B112)) * Premissas!$B$7, 0))</f>
        <v/>
      </c>
      <c r="AI113" s="47" t="str">
        <f>IF($A113="", "", IFERROR(($I113 * Premissas!$B$5) + ($E113 * ($I113/$B113) * Premissas!$B$4 * 12), 0))</f>
        <v/>
      </c>
      <c r="AJ113" s="47" t="str">
        <f>IF($A113="", "", $AI113 * Premissas!$B$12)</f>
        <v/>
      </c>
      <c r="AK113" s="47" t="str">
        <f t="shared" si="13"/>
        <v/>
      </c>
      <c r="AL113" s="47"/>
      <c r="AM113" s="47"/>
    </row>
    <row r="114" ht="15.75" customHeight="1">
      <c r="K114" s="47" t="str">
        <f>IF($A114="", "", IFERROR($E114 * ($I114/$B114) * Premissas!$B$6, 0))</f>
        <v/>
      </c>
      <c r="L114" s="47" t="str">
        <f>IF($A114="", "", IFERROR(($E114 * Premissas!$B$4 * ($I114/$B114) + $E113 * Premissas!$B$5 * ($I113/$B113)) * Premissas!$B$7, 0))</f>
        <v/>
      </c>
      <c r="AI114" s="47" t="str">
        <f>IF($A114="", "", IFERROR(($I114 * Premissas!$B$5) + ($E114 * ($I114/$B114) * Premissas!$B$4 * 12), 0))</f>
        <v/>
      </c>
      <c r="AJ114" s="47" t="str">
        <f>IF($A114="", "", $AI114 * Premissas!$B$12)</f>
        <v/>
      </c>
      <c r="AK114" s="47" t="str">
        <f t="shared" si="13"/>
        <v/>
      </c>
      <c r="AL114" s="47"/>
      <c r="AM114" s="47"/>
    </row>
    <row r="115" ht="15.75" customHeight="1">
      <c r="K115" s="47" t="str">
        <f>IF($A115="", "", IFERROR($E115 * ($I115/$B115) * Premissas!$B$6, 0))</f>
        <v/>
      </c>
      <c r="L115" s="47" t="str">
        <f>IF($A115="", "", IFERROR(($E115 * Premissas!$B$4 * ($I115/$B115) + $E114 * Premissas!$B$5 * ($I114/$B114)) * Premissas!$B$7, 0))</f>
        <v/>
      </c>
      <c r="AI115" s="47" t="str">
        <f>IF($A115="", "", IFERROR(($I115 * Premissas!$B$5) + ($E115 * ($I115/$B115) * Premissas!$B$4 * 12), 0))</f>
        <v/>
      </c>
      <c r="AJ115" s="47" t="str">
        <f>IF($A115="", "", $AI115 * Premissas!$B$12)</f>
        <v/>
      </c>
      <c r="AK115" s="47" t="str">
        <f t="shared" si="13"/>
        <v/>
      </c>
      <c r="AL115" s="47"/>
      <c r="AM115" s="47"/>
    </row>
    <row r="116" ht="15.75" customHeight="1">
      <c r="K116" s="47" t="str">
        <f>IF($A116="", "", IFERROR($E116 * ($I116/$B116) * Premissas!$B$6, 0))</f>
        <v/>
      </c>
      <c r="L116" s="47" t="str">
        <f>IF($A116="", "", IFERROR(($E116 * Premissas!$B$4 * ($I116/$B116) + $E115 * Premissas!$B$5 * ($I115/$B115)) * Premissas!$B$7, 0))</f>
        <v/>
      </c>
      <c r="AI116" s="47" t="str">
        <f>IF($A116="", "", IFERROR(($I116 * Premissas!$B$5) + ($E116 * ($I116/$B116) * Premissas!$B$4 * 12), 0))</f>
        <v/>
      </c>
      <c r="AJ116" s="47" t="str">
        <f>IF($A116="", "", $AI116 * Premissas!$B$12)</f>
        <v/>
      </c>
      <c r="AK116" s="47" t="str">
        <f t="shared" si="13"/>
        <v/>
      </c>
      <c r="AL116" s="47"/>
      <c r="AM116" s="47"/>
    </row>
    <row r="117" ht="15.75" customHeight="1">
      <c r="K117" s="47" t="str">
        <f>IF($A117="", "", IFERROR($E117 * ($I117/$B117) * Premissas!$B$6, 0))</f>
        <v/>
      </c>
      <c r="L117" s="47" t="str">
        <f>IF($A117="", "", IFERROR(($E117 * Premissas!$B$4 * ($I117/$B117) + $E116 * Premissas!$B$5 * ($I116/$B116)) * Premissas!$B$7, 0))</f>
        <v/>
      </c>
      <c r="AI117" s="47" t="str">
        <f>IF($A117="", "", IFERROR(($I117 * Premissas!$B$5) + ($E117 * ($I117/$B117) * Premissas!$B$4 * 12), 0))</f>
        <v/>
      </c>
      <c r="AJ117" s="47" t="str">
        <f>IF($A117="", "", $AI117 * Premissas!$B$12)</f>
        <v/>
      </c>
      <c r="AK117" s="47" t="str">
        <f t="shared" si="13"/>
        <v/>
      </c>
      <c r="AL117" s="47"/>
      <c r="AM117" s="47"/>
    </row>
    <row r="118" ht="15.75" customHeight="1">
      <c r="K118" s="47" t="str">
        <f>IF($A118="", "", IFERROR($E118 * ($I118/$B118) * Premissas!$B$6, 0))</f>
        <v/>
      </c>
      <c r="L118" s="47" t="str">
        <f>IF($A118="", "", IFERROR(($E118 * Premissas!$B$4 * ($I118/$B118) + $E117 * Premissas!$B$5 * ($I117/$B117)) * Premissas!$B$7, 0))</f>
        <v/>
      </c>
      <c r="AI118" s="47" t="str">
        <f>IF($A118="", "", IFERROR(($I118 * Premissas!$B$5) + ($E118 * ($I118/$B118) * Premissas!$B$4 * 12), 0))</f>
        <v/>
      </c>
      <c r="AJ118" s="47" t="str">
        <f>IF($A118="", "", $AI118 * Premissas!$B$12)</f>
        <v/>
      </c>
      <c r="AK118" s="47" t="str">
        <f t="shared" si="13"/>
        <v/>
      </c>
      <c r="AL118" s="47"/>
      <c r="AM118" s="47"/>
    </row>
    <row r="119" ht="15.75" customHeight="1">
      <c r="K119" s="47" t="str">
        <f>IF($A119="", "", IFERROR($E119 * ($I119/$B119) * Premissas!$B$6, 0))</f>
        <v/>
      </c>
      <c r="L119" s="47" t="str">
        <f>IF($A119="", "", IFERROR(($E119 * Premissas!$B$4 * ($I119/$B119) + $E118 * Premissas!$B$5 * ($I118/$B118)) * Premissas!$B$7, 0))</f>
        <v/>
      </c>
      <c r="AI119" s="47" t="str">
        <f>IF($A119="", "", IFERROR(($I119 * Premissas!$B$5) + ($E119 * ($I119/$B119) * Premissas!$B$4 * 12), 0))</f>
        <v/>
      </c>
      <c r="AJ119" s="47" t="str">
        <f>IF($A119="", "", $AI119 * Premissas!$B$12)</f>
        <v/>
      </c>
      <c r="AK119" s="47" t="str">
        <f t="shared" si="13"/>
        <v/>
      </c>
      <c r="AL119" s="47"/>
      <c r="AM119" s="47"/>
    </row>
    <row r="120" ht="15.75" customHeight="1">
      <c r="K120" s="47" t="str">
        <f>IF($A120="", "", IFERROR($E120 * ($I120/$B120) * Premissas!$B$6, 0))</f>
        <v/>
      </c>
      <c r="L120" s="47" t="str">
        <f>IF($A120="", "", IFERROR(($E120 * Premissas!$B$4 * ($I120/$B120) + $E119 * Premissas!$B$5 * ($I119/$B119)) * Premissas!$B$7, 0))</f>
        <v/>
      </c>
      <c r="AI120" s="47" t="str">
        <f>IF($A120="", "", IFERROR(($I120 * Premissas!$B$5) + ($E120 * ($I120/$B120) * Premissas!$B$4 * 12), 0))</f>
        <v/>
      </c>
      <c r="AJ120" s="47" t="str">
        <f>IF($A120="", "", $AI120 * Premissas!$B$12)</f>
        <v/>
      </c>
      <c r="AK120" s="47" t="str">
        <f t="shared" si="13"/>
        <v/>
      </c>
      <c r="AL120" s="47"/>
      <c r="AM120" s="47"/>
    </row>
    <row r="121" ht="15.75" customHeight="1">
      <c r="K121" s="47" t="str">
        <f>IF($A121="", "", IFERROR($E121 * ($I121/$B121) * Premissas!$B$6, 0))</f>
        <v/>
      </c>
      <c r="L121" s="47" t="str">
        <f>IF($A121="", "", IFERROR(($E121 * Premissas!$B$4 * ($I121/$B121) + $E120 * Premissas!$B$5 * ($I120/$B120)) * Premissas!$B$7, 0))</f>
        <v/>
      </c>
      <c r="AI121" s="47" t="str">
        <f>IF($A121="", "", IFERROR(($I121 * Premissas!$B$5) + ($E121 * ($I121/$B121) * Premissas!$B$4 * 12), 0))</f>
        <v/>
      </c>
      <c r="AJ121" s="47" t="str">
        <f>IF($A121="", "", $AI121 * Premissas!$B$12)</f>
        <v/>
      </c>
      <c r="AK121" s="47" t="str">
        <f t="shared" si="13"/>
        <v/>
      </c>
      <c r="AL121" s="47"/>
      <c r="AM121" s="47"/>
    </row>
    <row r="122" ht="15.75" customHeight="1">
      <c r="K122" s="47" t="str">
        <f>IF($A122="", "", IFERROR($E122 * ($I122/$B122) * Premissas!$B$6, 0))</f>
        <v/>
      </c>
      <c r="L122" s="47" t="str">
        <f>IF($A122="", "", IFERROR(($E122 * Premissas!$B$4 * ($I122/$B122) + $E121 * Premissas!$B$5 * ($I121/$B121)) * Premissas!$B$7, 0))</f>
        <v/>
      </c>
      <c r="AI122" s="47" t="str">
        <f>IF($A122="", "", IFERROR(($I122 * Premissas!$B$5) + ($E122 * ($I122/$B122) * Premissas!$B$4 * 12), 0))</f>
        <v/>
      </c>
      <c r="AJ122" s="47" t="str">
        <f>IF($A122="", "", $AI122 * Premissas!$B$12)</f>
        <v/>
      </c>
      <c r="AK122" s="47" t="str">
        <f t="shared" si="13"/>
        <v/>
      </c>
      <c r="AL122" s="47"/>
      <c r="AM122" s="47"/>
    </row>
    <row r="123" ht="15.75" customHeight="1">
      <c r="K123" s="47" t="str">
        <f>IF($A123="", "", IFERROR($E123 * ($I123/$B123) * Premissas!$B$6, 0))</f>
        <v/>
      </c>
      <c r="L123" s="47" t="str">
        <f>IF($A123="", "", IFERROR(($E123 * Premissas!$B$4 * ($I123/$B123) + $E122 * Premissas!$B$5 * ($I122/$B122)) * Premissas!$B$7, 0))</f>
        <v/>
      </c>
      <c r="AI123" s="47" t="str">
        <f>IF($A123="", "", IFERROR(($I123 * Premissas!$B$5) + ($E123 * ($I123/$B123) * Premissas!$B$4 * 12), 0))</f>
        <v/>
      </c>
      <c r="AJ123" s="47" t="str">
        <f>IF($A123="", "", $AI123 * Premissas!$B$12)</f>
        <v/>
      </c>
      <c r="AK123" s="47" t="str">
        <f t="shared" si="13"/>
        <v/>
      </c>
      <c r="AL123" s="47"/>
      <c r="AM123" s="47"/>
    </row>
    <row r="124" ht="15.75" customHeight="1">
      <c r="K124" s="47" t="str">
        <f>IF($A124="", "", IFERROR($E124 * ($I124/$B124) * Premissas!$B$6, 0))</f>
        <v/>
      </c>
      <c r="L124" s="47" t="str">
        <f>IF($A124="", "", IFERROR(($E124 * Premissas!$B$4 * ($I124/$B124) + $E123 * Premissas!$B$5 * ($I123/$B123)) * Premissas!$B$7, 0))</f>
        <v/>
      </c>
      <c r="AI124" s="47" t="str">
        <f>IF($A124="", "", IFERROR(($I124 * Premissas!$B$5) + ($E124 * ($I124/$B124) * Premissas!$B$4 * 12), 0))</f>
        <v/>
      </c>
      <c r="AJ124" s="47" t="str">
        <f>IF($A124="", "", $AI124 * Premissas!$B$12)</f>
        <v/>
      </c>
      <c r="AK124" s="47" t="str">
        <f t="shared" si="13"/>
        <v/>
      </c>
      <c r="AL124" s="47"/>
      <c r="AM124" s="47"/>
    </row>
    <row r="125" ht="15.75" customHeight="1">
      <c r="K125" s="47" t="str">
        <f>IF($A125="", "", IFERROR($E125 * ($I125/$B125) * Premissas!$B$6, 0))</f>
        <v/>
      </c>
      <c r="L125" s="47" t="str">
        <f>IF($A125="", "", IFERROR(($E125 * Premissas!$B$4 * ($I125/$B125) + $E124 * Premissas!$B$5 * ($I124/$B124)) * Premissas!$B$7, 0))</f>
        <v/>
      </c>
      <c r="AI125" s="47" t="str">
        <f>IF($A125="", "", IFERROR(($I125 * Premissas!$B$5) + ($E125 * ($I125/$B125) * Premissas!$B$4 * 12), 0))</f>
        <v/>
      </c>
      <c r="AJ125" s="47" t="str">
        <f>IF($A125="", "", $AI125 * Premissas!$B$12)</f>
        <v/>
      </c>
      <c r="AK125" s="47" t="str">
        <f t="shared" si="13"/>
        <v/>
      </c>
      <c r="AL125" s="47"/>
      <c r="AM125" s="47"/>
    </row>
    <row r="126" ht="15.75" customHeight="1">
      <c r="K126" s="47" t="str">
        <f>IF($A126="", "", IFERROR($E126 * ($I126/$B126) * Premissas!$B$6, 0))</f>
        <v/>
      </c>
      <c r="L126" s="47" t="str">
        <f>IF($A126="", "", IFERROR(($E126 * Premissas!$B$4 * ($I126/$B126) + $E125 * Premissas!$B$5 * ($I125/$B125)) * Premissas!$B$7, 0))</f>
        <v/>
      </c>
      <c r="AI126" s="47" t="str">
        <f>IF($A126="", "", IFERROR(($I126 * Premissas!$B$5) + ($E126 * ($I126/$B126) * Premissas!$B$4 * 12), 0))</f>
        <v/>
      </c>
      <c r="AJ126" s="47" t="str">
        <f>IF($A126="", "", $AI126 * Premissas!$B$12)</f>
        <v/>
      </c>
      <c r="AK126" s="47" t="str">
        <f t="shared" si="13"/>
        <v/>
      </c>
      <c r="AL126" s="47"/>
      <c r="AM126" s="47"/>
    </row>
    <row r="127" ht="15.75" customHeight="1">
      <c r="K127" s="47" t="str">
        <f>IF($A127="", "", IFERROR($E127 * ($I127/$B127) * Premissas!$B$6, 0))</f>
        <v/>
      </c>
      <c r="L127" s="47" t="str">
        <f>IF($A127="", "", IFERROR(($E127 * Premissas!$B$4 * ($I127/$B127) + $E126 * Premissas!$B$5 * ($I126/$B126)) * Premissas!$B$7, 0))</f>
        <v/>
      </c>
      <c r="AI127" s="47" t="str">
        <f>IF($A127="", "", IFERROR(($I127 * Premissas!$B$5) + ($E127 * ($I127/$B127) * Premissas!$B$4 * 12), 0))</f>
        <v/>
      </c>
      <c r="AJ127" s="47" t="str">
        <f>IF($A127="", "", $AI127 * Premissas!$B$12)</f>
        <v/>
      </c>
      <c r="AK127" s="47" t="str">
        <f t="shared" si="13"/>
        <v/>
      </c>
      <c r="AL127" s="47"/>
      <c r="AM127" s="47"/>
    </row>
    <row r="128" ht="15.75" customHeight="1">
      <c r="K128" s="47" t="str">
        <f>IF($A128="", "", IFERROR($E128 * ($I128/$B128) * Premissas!$B$6, 0))</f>
        <v/>
      </c>
      <c r="L128" s="47" t="str">
        <f>IF($A128="", "", IFERROR(($E128 * Premissas!$B$4 * ($I128/$B128) + $E127 * Premissas!$B$5 * ($I127/$B127)) * Premissas!$B$7, 0))</f>
        <v/>
      </c>
      <c r="AI128" s="47" t="str">
        <f>IF($A128="", "", IFERROR(($I128 * Premissas!$B$5) + ($E128 * ($I128/$B128) * Premissas!$B$4 * 12), 0))</f>
        <v/>
      </c>
      <c r="AJ128" s="47" t="str">
        <f>IF($A128="", "", $AI128 * Premissas!$B$12)</f>
        <v/>
      </c>
      <c r="AK128" s="47" t="str">
        <f t="shared" si="13"/>
        <v/>
      </c>
      <c r="AL128" s="47"/>
      <c r="AM128" s="47"/>
    </row>
    <row r="129" ht="15.75" customHeight="1">
      <c r="K129" s="47" t="str">
        <f>IF($A129="", "", IFERROR($E129 * ($I129/$B129) * Premissas!$B$6, 0))</f>
        <v/>
      </c>
      <c r="L129" s="47" t="str">
        <f>IF($A129="", "", IFERROR(($E129 * Premissas!$B$4 * ($I129/$B129) + $E128 * Premissas!$B$5 * ($I128/$B128)) * Premissas!$B$7, 0))</f>
        <v/>
      </c>
      <c r="AI129" s="47" t="str">
        <f>IF($A129="", "", IFERROR(($I129 * Premissas!$B$5) + ($E129 * ($I129/$B129) * Premissas!$B$4 * 12), 0))</f>
        <v/>
      </c>
      <c r="AJ129" s="47" t="str">
        <f>IF($A129="", "", $AI129 * Premissas!$B$12)</f>
        <v/>
      </c>
      <c r="AK129" s="47" t="str">
        <f t="shared" si="13"/>
        <v/>
      </c>
      <c r="AL129" s="47"/>
      <c r="AM129" s="47"/>
    </row>
    <row r="130" ht="15.75" customHeight="1">
      <c r="K130" s="47" t="str">
        <f>IF($A130="", "", IFERROR($E130 * ($I130/$B130) * Premissas!$B$6, 0))</f>
        <v/>
      </c>
      <c r="L130" s="47" t="str">
        <f>IF($A130="", "", IFERROR(($E130 * Premissas!$B$4 * ($I130/$B130) + $E129 * Premissas!$B$5 * ($I129/$B129)) * Premissas!$B$7, 0))</f>
        <v/>
      </c>
      <c r="AI130" s="47" t="str">
        <f>IF($A130="", "", IFERROR(($I130 * Premissas!$B$5) + ($E130 * ($I130/$B130) * Premissas!$B$4 * 12), 0))</f>
        <v/>
      </c>
      <c r="AJ130" s="47" t="str">
        <f>IF($A130="", "", $AI130 * Premissas!$B$12)</f>
        <v/>
      </c>
      <c r="AK130" s="47" t="str">
        <f t="shared" si="13"/>
        <v/>
      </c>
      <c r="AL130" s="47"/>
      <c r="AM130" s="47"/>
    </row>
    <row r="131" ht="15.75" customHeight="1">
      <c r="K131" s="47" t="str">
        <f>IF($A131="", "", IFERROR($E131 * ($I131/$B131) * Premissas!$B$6, 0))</f>
        <v/>
      </c>
      <c r="L131" s="47" t="str">
        <f>IF($A131="", "", IFERROR(($E131 * Premissas!$B$4 * ($I131/$B131) + $E130 * Premissas!$B$5 * ($I130/$B130)) * Premissas!$B$7, 0))</f>
        <v/>
      </c>
      <c r="AI131" s="47" t="str">
        <f>IF($A131="", "", IFERROR(($I131 * Premissas!$B$5) + ($E131 * ($I131/$B131) * Premissas!$B$4 * 12), 0))</f>
        <v/>
      </c>
      <c r="AJ131" s="47" t="str">
        <f>IF($A131="", "", $AI131 * Premissas!$B$12)</f>
        <v/>
      </c>
      <c r="AK131" s="47" t="str">
        <f t="shared" si="13"/>
        <v/>
      </c>
      <c r="AL131" s="47"/>
      <c r="AM131" s="47"/>
    </row>
    <row r="132" ht="15.75" customHeight="1">
      <c r="K132" s="47" t="str">
        <f>IF($A132="", "", IFERROR($E132 * ($I132/$B132) * Premissas!$B$6, 0))</f>
        <v/>
      </c>
      <c r="L132" s="47" t="str">
        <f>IF($A132="", "", IFERROR(($E132 * Premissas!$B$4 * ($I132/$B132) + $E131 * Premissas!$B$5 * ($I131/$B131)) * Premissas!$B$7, 0))</f>
        <v/>
      </c>
      <c r="AI132" s="47" t="str">
        <f>IF($A132="", "", IFERROR(($I132 * Premissas!$B$5) + ($E132 * ($I132/$B132) * Premissas!$B$4 * 12), 0))</f>
        <v/>
      </c>
      <c r="AJ132" s="47" t="str">
        <f>IF($A132="", "", $AI132 * Premissas!$B$12)</f>
        <v/>
      </c>
      <c r="AK132" s="47" t="str">
        <f t="shared" si="13"/>
        <v/>
      </c>
      <c r="AL132" s="47"/>
      <c r="AM132" s="47"/>
    </row>
    <row r="133" ht="15.75" customHeight="1">
      <c r="K133" s="47" t="str">
        <f>IF($A133="", "", IFERROR($E133 * ($I133/$B133) * Premissas!$B$6, 0))</f>
        <v/>
      </c>
      <c r="L133" s="47" t="str">
        <f>IF($A133="", "", IFERROR(($E133 * Premissas!$B$4 * ($I133/$B133) + $E132 * Premissas!$B$5 * ($I132/$B132)) * Premissas!$B$7, 0))</f>
        <v/>
      </c>
      <c r="AI133" s="47" t="str">
        <f>IF($A133="", "", IFERROR(($I133 * Premissas!$B$5) + ($E133 * ($I133/$B133) * Premissas!$B$4 * 12), 0))</f>
        <v/>
      </c>
      <c r="AJ133" s="47" t="str">
        <f>IF($A133="", "", $AI133 * Premissas!$B$12)</f>
        <v/>
      </c>
      <c r="AK133" s="47" t="str">
        <f t="shared" si="13"/>
        <v/>
      </c>
      <c r="AL133" s="47"/>
      <c r="AM133" s="47"/>
    </row>
    <row r="134" ht="15.75" customHeight="1">
      <c r="K134" s="47" t="str">
        <f>IF($A134="", "", IFERROR($E134 * ($I134/$B134) * Premissas!$B$6, 0))</f>
        <v/>
      </c>
      <c r="L134" s="47" t="str">
        <f>IF($A134="", "", IFERROR(($E134 * Premissas!$B$4 * ($I134/$B134) + $E133 * Premissas!$B$5 * ($I133/$B133)) * Premissas!$B$7, 0))</f>
        <v/>
      </c>
      <c r="AI134" s="47" t="str">
        <f>IF($A134="", "", IFERROR(($I134 * Premissas!$B$5) + ($E134 * ($I134/$B134) * Premissas!$B$4 * 12), 0))</f>
        <v/>
      </c>
      <c r="AJ134" s="47" t="str">
        <f>IF($A134="", "", $AI134 * Premissas!$B$12)</f>
        <v/>
      </c>
      <c r="AK134" s="47" t="str">
        <f t="shared" si="13"/>
        <v/>
      </c>
      <c r="AL134" s="47"/>
      <c r="AM134" s="47"/>
    </row>
    <row r="135" ht="15.75" customHeight="1">
      <c r="K135" s="47" t="str">
        <f>IF($A135="", "", IFERROR($E135 * ($I135/$B135) * Premissas!$B$6, 0))</f>
        <v/>
      </c>
      <c r="L135" s="47" t="str">
        <f>IF($A135="", "", IFERROR(($E135 * Premissas!$B$4 * ($I135/$B135) + $E134 * Premissas!$B$5 * ($I134/$B134)) * Premissas!$B$7, 0))</f>
        <v/>
      </c>
      <c r="AI135" s="47" t="str">
        <f>IF($A135="", "", IFERROR(($I135 * Premissas!$B$5) + ($E135 * ($I135/$B135) * Premissas!$B$4 * 12), 0))</f>
        <v/>
      </c>
      <c r="AJ135" s="47" t="str">
        <f>IF($A135="", "", $AI135 * Premissas!$B$12)</f>
        <v/>
      </c>
      <c r="AK135" s="47" t="str">
        <f t="shared" si="13"/>
        <v/>
      </c>
      <c r="AL135" s="47"/>
      <c r="AM135" s="47"/>
    </row>
    <row r="136" ht="15.75" customHeight="1">
      <c r="K136" s="47" t="str">
        <f>IF($A136="", "", IFERROR($E136 * ($I136/$B136) * Premissas!$B$6, 0))</f>
        <v/>
      </c>
      <c r="L136" s="47" t="str">
        <f>IF($A136="", "", IFERROR(($E136 * Premissas!$B$4 * ($I136/$B136) + $E135 * Premissas!$B$5 * ($I135/$B135)) * Premissas!$B$7, 0))</f>
        <v/>
      </c>
      <c r="AI136" s="47" t="str">
        <f>IF($A136="", "", IFERROR(($I136 * Premissas!$B$5) + ($E136 * ($I136/$B136) * Premissas!$B$4 * 12), 0))</f>
        <v/>
      </c>
      <c r="AJ136" s="47" t="str">
        <f>IF($A136="", "", $AI136 * Premissas!$B$12)</f>
        <v/>
      </c>
      <c r="AK136" s="47" t="str">
        <f t="shared" si="13"/>
        <v/>
      </c>
      <c r="AL136" s="47"/>
      <c r="AM136" s="47"/>
    </row>
    <row r="137" ht="15.75" customHeight="1">
      <c r="K137" s="47" t="str">
        <f>IF($A137="", "", IFERROR($E137 * ($I137/$B137) * Premissas!$B$6, 0))</f>
        <v/>
      </c>
      <c r="L137" s="47" t="str">
        <f>IF($A137="", "", IFERROR(($E137 * Premissas!$B$4 * ($I137/$B137) + $E136 * Premissas!$B$5 * ($I136/$B136)) * Premissas!$B$7, 0))</f>
        <v/>
      </c>
      <c r="AI137" s="47" t="str">
        <f>IF($A137="", "", IFERROR(($I137 * Premissas!$B$5) + ($E137 * ($I137/$B137) * Premissas!$B$4 * 12), 0))</f>
        <v/>
      </c>
      <c r="AJ137" s="47" t="str">
        <f>IF($A137="", "", $AI137 * Premissas!$B$12)</f>
        <v/>
      </c>
      <c r="AK137" s="47" t="str">
        <f t="shared" si="13"/>
        <v/>
      </c>
      <c r="AL137" s="47"/>
      <c r="AM137" s="47"/>
    </row>
    <row r="138" ht="15.75" customHeight="1">
      <c r="K138" s="47" t="str">
        <f>IF($A138="", "", IFERROR($E138 * ($I138/$B138) * Premissas!$B$6, 0))</f>
        <v/>
      </c>
      <c r="L138" s="47" t="str">
        <f>IF($A138="", "", IFERROR(($E138 * Premissas!$B$4 * ($I138/$B138) + $E137 * Premissas!$B$5 * ($I137/$B137)) * Premissas!$B$7, 0))</f>
        <v/>
      </c>
      <c r="AI138" s="47" t="str">
        <f>IF($A138="", "", IFERROR(($I138 * Premissas!$B$5) + ($E138 * ($I138/$B138) * Premissas!$B$4 * 12), 0))</f>
        <v/>
      </c>
      <c r="AJ138" s="47" t="str">
        <f>IF($A138="", "", $AI138 * Premissas!$B$12)</f>
        <v/>
      </c>
      <c r="AK138" s="47" t="str">
        <f t="shared" si="13"/>
        <v/>
      </c>
      <c r="AL138" s="47"/>
      <c r="AM138" s="47"/>
    </row>
    <row r="139" ht="15.75" customHeight="1">
      <c r="K139" s="47" t="str">
        <f>IF($A139="", "", IFERROR($E139 * ($I139/$B139) * Premissas!$B$6, 0))</f>
        <v/>
      </c>
      <c r="L139" s="47" t="str">
        <f>IF($A139="", "", IFERROR(($E139 * Premissas!$B$4 * ($I139/$B139) + $E138 * Premissas!$B$5 * ($I138/$B138)) * Premissas!$B$7, 0))</f>
        <v/>
      </c>
      <c r="AI139" s="47" t="str">
        <f>IF($A139="", "", IFERROR(($I139 * Premissas!$B$5) + ($E139 * ($I139/$B139) * Premissas!$B$4 * 12), 0))</f>
        <v/>
      </c>
      <c r="AJ139" s="47" t="str">
        <f>IF($A139="", "", $AI139 * Premissas!$B$12)</f>
        <v/>
      </c>
      <c r="AK139" s="47" t="str">
        <f t="shared" si="13"/>
        <v/>
      </c>
      <c r="AL139" s="47"/>
      <c r="AM139" s="47"/>
    </row>
    <row r="140" ht="15.75" customHeight="1">
      <c r="K140" s="47" t="str">
        <f>IF($A140="", "", IFERROR($E140 * ($I140/$B140) * Premissas!$B$6, 0))</f>
        <v/>
      </c>
      <c r="L140" s="47" t="str">
        <f>IF($A140="", "", IFERROR(($E140 * Premissas!$B$4 * ($I140/$B140) + $E139 * Premissas!$B$5 * ($I139/$B139)) * Premissas!$B$7, 0))</f>
        <v/>
      </c>
      <c r="AI140" s="47" t="str">
        <f>IF($A140="", "", IFERROR(($I140 * Premissas!$B$5) + ($E140 * ($I140/$B140) * Premissas!$B$4 * 12), 0))</f>
        <v/>
      </c>
      <c r="AJ140" s="47" t="str">
        <f>IF($A140="", "", $AI140 * Premissas!$B$12)</f>
        <v/>
      </c>
      <c r="AK140" s="47" t="str">
        <f t="shared" si="13"/>
        <v/>
      </c>
      <c r="AL140" s="47"/>
      <c r="AM140" s="47"/>
    </row>
    <row r="141" ht="15.75" customHeight="1">
      <c r="K141" s="47" t="str">
        <f>IF($A141="", "", IFERROR($E141 * ($I141/$B141) * Premissas!$B$6, 0))</f>
        <v/>
      </c>
      <c r="L141" s="47" t="str">
        <f>IF($A141="", "", IFERROR(($E141 * Premissas!$B$4 * ($I141/$B141) + $E140 * Premissas!$B$5 * ($I140/$B140)) * Premissas!$B$7, 0))</f>
        <v/>
      </c>
      <c r="AI141" s="47" t="str">
        <f>IF($A141="", "", IFERROR(($I141 * Premissas!$B$5) + ($E141 * ($I141/$B141) * Premissas!$B$4 * 12), 0))</f>
        <v/>
      </c>
      <c r="AJ141" s="47" t="str">
        <f>IF($A141="", "", $AI141 * Premissas!$B$12)</f>
        <v/>
      </c>
      <c r="AK141" s="47" t="str">
        <f t="shared" si="13"/>
        <v/>
      </c>
      <c r="AL141" s="47"/>
      <c r="AM141" s="47"/>
    </row>
    <row r="142" ht="15.75" customHeight="1">
      <c r="K142" s="47" t="str">
        <f>IF($A142="", "", IFERROR($E142 * ($I142/$B142) * Premissas!$B$6, 0))</f>
        <v/>
      </c>
      <c r="L142" s="47" t="str">
        <f>IF($A142="", "", IFERROR(($E142 * Premissas!$B$4 * ($I142/$B142) + $E141 * Premissas!$B$5 * ($I141/$B141)) * Premissas!$B$7, 0))</f>
        <v/>
      </c>
      <c r="AI142" s="47" t="str">
        <f>IF($A142="", "", IFERROR(($I142 * Premissas!$B$5) + ($E142 * ($I142/$B142) * Premissas!$B$4 * 12), 0))</f>
        <v/>
      </c>
      <c r="AJ142" s="47" t="str">
        <f>IF($A142="", "", $AI142 * Premissas!$B$12)</f>
        <v/>
      </c>
      <c r="AK142" s="47" t="str">
        <f t="shared" si="13"/>
        <v/>
      </c>
      <c r="AL142" s="47"/>
      <c r="AM142" s="47"/>
    </row>
    <row r="143" ht="15.75" customHeight="1">
      <c r="K143" s="47" t="str">
        <f>IF($A143="", "", IFERROR($E143 * ($I143/$B143) * Premissas!$B$6, 0))</f>
        <v/>
      </c>
      <c r="L143" s="47" t="str">
        <f>IF($A143="", "", IFERROR(($E143 * Premissas!$B$4 * ($I143/$B143) + $E142 * Premissas!$B$5 * ($I142/$B142)) * Premissas!$B$7, 0))</f>
        <v/>
      </c>
      <c r="AI143" s="47" t="str">
        <f>IF($A143="", "", IFERROR(($I143 * Premissas!$B$5) + ($E143 * ($I143/$B143) * Premissas!$B$4 * 12), 0))</f>
        <v/>
      </c>
      <c r="AJ143" s="47" t="str">
        <f>IF($A143="", "", $AI143 * Premissas!$B$12)</f>
        <v/>
      </c>
      <c r="AK143" s="47" t="str">
        <f t="shared" si="13"/>
        <v/>
      </c>
      <c r="AL143" s="47"/>
      <c r="AM143" s="47"/>
    </row>
    <row r="144" ht="15.75" customHeight="1">
      <c r="K144" s="47" t="str">
        <f>IF($A144="", "", IFERROR($E144 * ($I144/$B144) * Premissas!$B$6, 0))</f>
        <v/>
      </c>
      <c r="L144" s="47" t="str">
        <f>IF($A144="", "", IFERROR(($E144 * Premissas!$B$4 * ($I144/$B144) + $E143 * Premissas!$B$5 * ($I143/$B143)) * Premissas!$B$7, 0))</f>
        <v/>
      </c>
      <c r="AI144" s="47" t="str">
        <f>IF($A144="", "", IFERROR(($I144 * Premissas!$B$5) + ($E144 * ($I144/$B144) * Premissas!$B$4 * 12), 0))</f>
        <v/>
      </c>
      <c r="AJ144" s="47" t="str">
        <f>IF($A144="", "", $AI144 * Premissas!$B$12)</f>
        <v/>
      </c>
      <c r="AK144" s="47" t="str">
        <f t="shared" si="13"/>
        <v/>
      </c>
      <c r="AL144" s="47"/>
      <c r="AM144" s="47"/>
    </row>
    <row r="145" ht="15.75" customHeight="1">
      <c r="K145" s="47" t="str">
        <f>IF($A145="", "", IFERROR($E145 * ($I145/$B145) * Premissas!$B$6, 0))</f>
        <v/>
      </c>
      <c r="L145" s="47" t="str">
        <f>IF($A145="", "", IFERROR(($E145 * Premissas!$B$4 * ($I145/$B145) + $E144 * Premissas!$B$5 * ($I144/$B144)) * Premissas!$B$7, 0))</f>
        <v/>
      </c>
      <c r="AI145" s="47" t="str">
        <f>IF($A145="", "", IFERROR(($I145 * Premissas!$B$5) + ($E145 * ($I145/$B145) * Premissas!$B$4 * 12), 0))</f>
        <v/>
      </c>
      <c r="AJ145" s="47" t="str">
        <f>IF($A145="", "", $AI145 * Premissas!$B$12)</f>
        <v/>
      </c>
      <c r="AK145" s="47" t="str">
        <f t="shared" si="13"/>
        <v/>
      </c>
      <c r="AL145" s="47"/>
      <c r="AM145" s="47"/>
    </row>
    <row r="146" ht="15.75" customHeight="1">
      <c r="K146" s="47" t="str">
        <f>IF($A146="", "", IFERROR($E146 * ($I146/$B146) * Premissas!$B$6, 0))</f>
        <v/>
      </c>
      <c r="L146" s="47" t="str">
        <f>IF($A146="", "", IFERROR(($E146 * Premissas!$B$4 * ($I146/$B146) + $E145 * Premissas!$B$5 * ($I145/$B145)) * Premissas!$B$7, 0))</f>
        <v/>
      </c>
      <c r="AI146" s="47" t="str">
        <f>IF($A146="", "", IFERROR(($I146 * Premissas!$B$5) + ($E146 * ($I146/$B146) * Premissas!$B$4 * 12), 0))</f>
        <v/>
      </c>
      <c r="AJ146" s="47" t="str">
        <f>IF($A146="", "", $AI146 * Premissas!$B$12)</f>
        <v/>
      </c>
      <c r="AK146" s="47" t="str">
        <f t="shared" si="13"/>
        <v/>
      </c>
      <c r="AL146" s="47"/>
      <c r="AM146" s="47"/>
    </row>
    <row r="147" ht="15.75" customHeight="1">
      <c r="K147" s="47" t="str">
        <f>IF($A147="", "", IFERROR($E147 * ($I147/$B147) * Premissas!$B$6, 0))</f>
        <v/>
      </c>
      <c r="L147" s="47" t="str">
        <f>IF($A147="", "", IFERROR(($E147 * Premissas!$B$4 * ($I147/$B147) + $E146 * Premissas!$B$5 * ($I146/$B146)) * Premissas!$B$7, 0))</f>
        <v/>
      </c>
      <c r="AI147" s="47" t="str">
        <f>IF($A147="", "", IFERROR(($I147 * Premissas!$B$5) + ($E147 * ($I147/$B147) * Premissas!$B$4 * 12), 0))</f>
        <v/>
      </c>
      <c r="AJ147" s="47" t="str">
        <f>IF($A147="", "", $AI147 * Premissas!$B$12)</f>
        <v/>
      </c>
      <c r="AK147" s="47" t="str">
        <f t="shared" si="13"/>
        <v/>
      </c>
      <c r="AL147" s="47"/>
      <c r="AM147" s="47"/>
    </row>
    <row r="148" ht="15.75" customHeight="1">
      <c r="K148" s="47" t="str">
        <f>IF($A148="", "", IFERROR($E148 * ($I148/$B148) * Premissas!$B$6, 0))</f>
        <v/>
      </c>
      <c r="L148" s="47" t="str">
        <f>IF($A148="", "", IFERROR(($E148 * Premissas!$B$4 * ($I148/$B148) + $E147 * Premissas!$B$5 * ($I147/$B147)) * Premissas!$B$7, 0))</f>
        <v/>
      </c>
      <c r="AI148" s="47" t="str">
        <f>IF($A148="", "", IFERROR(($I148 * Premissas!$B$5) + ($E148 * ($I148/$B148) * Premissas!$B$4 * 12), 0))</f>
        <v/>
      </c>
      <c r="AJ148" s="47" t="str">
        <f>IF($A148="", "", $AI148 * Premissas!$B$12)</f>
        <v/>
      </c>
      <c r="AK148" s="47" t="str">
        <f t="shared" si="13"/>
        <v/>
      </c>
      <c r="AL148" s="47"/>
      <c r="AM148" s="47"/>
    </row>
    <row r="149" ht="15.75" customHeight="1">
      <c r="K149" s="47" t="str">
        <f>IF($A149="", "", IFERROR($E149 * ($I149/$B149) * Premissas!$B$6, 0))</f>
        <v/>
      </c>
      <c r="L149" s="47" t="str">
        <f>IF($A149="", "", IFERROR(($E149 * Premissas!$B$4 * ($I149/$B149) + $E148 * Premissas!$B$5 * ($I148/$B148)) * Premissas!$B$7, 0))</f>
        <v/>
      </c>
      <c r="AI149" s="47" t="str">
        <f>IF($A149="", "", IFERROR(($I149 * Premissas!$B$5) + ($E149 * ($I149/$B149) * Premissas!$B$4 * 12), 0))</f>
        <v/>
      </c>
      <c r="AJ149" s="47" t="str">
        <f>IF($A149="", "", $AI149 * Premissas!$B$12)</f>
        <v/>
      </c>
      <c r="AK149" s="47" t="str">
        <f t="shared" si="13"/>
        <v/>
      </c>
      <c r="AL149" s="47"/>
      <c r="AM149" s="47"/>
    </row>
    <row r="150" ht="15.75" customHeight="1">
      <c r="K150" s="47" t="str">
        <f>IF($A150="", "", IFERROR($E150 * ($I150/$B150) * Premissas!$B$6, 0))</f>
        <v/>
      </c>
      <c r="L150" s="47" t="str">
        <f>IF($A150="", "", IFERROR(($E150 * Premissas!$B$4 * ($I150/$B150) + $E149 * Premissas!$B$5 * ($I149/$B149)) * Premissas!$B$7, 0))</f>
        <v/>
      </c>
      <c r="AI150" s="47" t="str">
        <f>IF($A150="", "", IFERROR(($I150 * Premissas!$B$5) + ($E150 * ($I150/$B150) * Premissas!$B$4 * 12), 0))</f>
        <v/>
      </c>
      <c r="AJ150" s="47" t="str">
        <f>IF($A150="", "", $AI150 * Premissas!$B$12)</f>
        <v/>
      </c>
      <c r="AK150" s="47" t="str">
        <f t="shared" si="13"/>
        <v/>
      </c>
      <c r="AL150" s="47"/>
      <c r="AM150" s="47"/>
    </row>
    <row r="151" ht="15.75" customHeight="1">
      <c r="K151" s="47" t="str">
        <f>IF($A151="", "", IFERROR($E151 * ($I151/$B151) * Premissas!$B$6, 0))</f>
        <v/>
      </c>
      <c r="L151" s="47" t="str">
        <f>IF($A151="", "", IFERROR(($E151 * Premissas!$B$4 * ($I151/$B151) + $E150 * Premissas!$B$5 * ($I150/$B150)) * Premissas!$B$7, 0))</f>
        <v/>
      </c>
      <c r="AI151" s="47" t="str">
        <f>IF($A151="", "", IFERROR(($I151 * Premissas!$B$5) + ($E151 * ($I151/$B151) * Premissas!$B$4 * 12), 0))</f>
        <v/>
      </c>
      <c r="AJ151" s="47" t="str">
        <f>IF($A151="", "", $AI151 * Premissas!$B$12)</f>
        <v/>
      </c>
      <c r="AK151" s="47" t="str">
        <f t="shared" si="13"/>
        <v/>
      </c>
      <c r="AL151" s="47"/>
      <c r="AM151" s="47"/>
    </row>
    <row r="152" ht="15.75" customHeight="1">
      <c r="K152" s="47" t="str">
        <f>IF($A152="", "", IFERROR($E152 * ($I152/$B152) * Premissas!$B$6, 0))</f>
        <v/>
      </c>
      <c r="L152" s="47" t="str">
        <f>IF($A152="", "", IFERROR(($E152 * Premissas!$B$4 * ($I152/$B152) + $E151 * Premissas!$B$5 * ($I151/$B151)) * Premissas!$B$7, 0))</f>
        <v/>
      </c>
      <c r="AI152" s="47" t="str">
        <f>IF($A152="", "", IFERROR(($I152 * Premissas!$B$5) + ($E152 * ($I152/$B152) * Premissas!$B$4 * 12), 0))</f>
        <v/>
      </c>
      <c r="AJ152" s="47" t="str">
        <f>IF($A152="", "", $AI152 * Premissas!$B$12)</f>
        <v/>
      </c>
      <c r="AK152" s="47" t="str">
        <f t="shared" si="13"/>
        <v/>
      </c>
      <c r="AL152" s="47"/>
      <c r="AM152" s="47"/>
    </row>
    <row r="153" ht="15.75" customHeight="1">
      <c r="K153" s="47" t="str">
        <f>IF($A153="", "", IFERROR($E153 * ($I153/$B153) * Premissas!$B$6, 0))</f>
        <v/>
      </c>
      <c r="L153" s="47" t="str">
        <f>IF($A153="", "", IFERROR(($E153 * Premissas!$B$4 * ($I153/$B153) + $E152 * Premissas!$B$5 * ($I152/$B152)) * Premissas!$B$7, 0))</f>
        <v/>
      </c>
      <c r="AI153" s="47" t="str">
        <f>IF($A153="", "", IFERROR(($I153 * Premissas!$B$5) + ($E153 * ($I153/$B153) * Premissas!$B$4 * 12), 0))</f>
        <v/>
      </c>
      <c r="AJ153" s="47" t="str">
        <f>IF($A153="", "", $AI153 * Premissas!$B$12)</f>
        <v/>
      </c>
      <c r="AK153" s="47" t="str">
        <f t="shared" si="13"/>
        <v/>
      </c>
      <c r="AL153" s="47"/>
      <c r="AM153" s="47"/>
    </row>
    <row r="154" ht="15.75" customHeight="1">
      <c r="K154" s="47" t="str">
        <f>IF($A154="", "", IFERROR($E154 * ($I154/$B154) * Premissas!$B$6, 0))</f>
        <v/>
      </c>
      <c r="L154" s="47" t="str">
        <f>IF($A154="", "", IFERROR(($E154 * Premissas!$B$4 * ($I154/$B154) + $E153 * Premissas!$B$5 * ($I153/$B153)) * Premissas!$B$7, 0))</f>
        <v/>
      </c>
      <c r="AI154" s="47" t="str">
        <f>IF($A154="", "", IFERROR(($I154 * Premissas!$B$5) + ($E154 * ($I154/$B154) * Premissas!$B$4 * 12), 0))</f>
        <v/>
      </c>
      <c r="AJ154" s="47" t="str">
        <f>IF($A154="", "", $AI154 * Premissas!$B$12)</f>
        <v/>
      </c>
      <c r="AK154" s="47" t="str">
        <f t="shared" si="13"/>
        <v/>
      </c>
      <c r="AL154" s="47"/>
      <c r="AM154" s="47"/>
    </row>
    <row r="155" ht="15.75" customHeight="1">
      <c r="K155" s="47" t="str">
        <f>IF($A155="", "", IFERROR($E155 * ($I155/$B155) * Premissas!$B$6, 0))</f>
        <v/>
      </c>
      <c r="L155" s="47" t="str">
        <f>IF($A155="", "", IFERROR(($E155 * Premissas!$B$4 * ($I155/$B155) + $E154 * Premissas!$B$5 * ($I154/$B154)) * Premissas!$B$7, 0))</f>
        <v/>
      </c>
      <c r="AI155" s="47" t="str">
        <f>IF($A155="", "", IFERROR(($I155 * Premissas!$B$5) + ($E155 * ($I155/$B155) * Premissas!$B$4 * 12), 0))</f>
        <v/>
      </c>
      <c r="AJ155" s="47" t="str">
        <f>IF($A155="", "", $AI155 * Premissas!$B$12)</f>
        <v/>
      </c>
      <c r="AK155" s="47" t="str">
        <f t="shared" si="13"/>
        <v/>
      </c>
      <c r="AL155" s="47"/>
      <c r="AM155" s="47"/>
    </row>
    <row r="156" ht="15.75" customHeight="1">
      <c r="K156" s="47" t="str">
        <f>IF($A156="", "", IFERROR($E156 * ($I156/$B156) * Premissas!$B$6, 0))</f>
        <v/>
      </c>
      <c r="L156" s="47" t="str">
        <f>IF($A156="", "", IFERROR(($E156 * Premissas!$B$4 * ($I156/$B156) + $E155 * Premissas!$B$5 * ($I155/$B155)) * Premissas!$B$7, 0))</f>
        <v/>
      </c>
      <c r="AI156" s="47" t="str">
        <f>IF($A156="", "", IFERROR(($I156 * Premissas!$B$5) + ($E156 * ($I156/$B156) * Premissas!$B$4 * 12), 0))</f>
        <v/>
      </c>
      <c r="AJ156" s="47" t="str">
        <f>IF($A156="", "", $AI156 * Premissas!$B$12)</f>
        <v/>
      </c>
      <c r="AK156" s="47" t="str">
        <f t="shared" si="13"/>
        <v/>
      </c>
      <c r="AL156" s="47"/>
      <c r="AM156" s="47"/>
    </row>
    <row r="157" ht="15.75" customHeight="1">
      <c r="K157" s="47" t="str">
        <f>IF($A157="", "", IFERROR($E157 * ($I157/$B157) * Premissas!$B$6, 0))</f>
        <v/>
      </c>
      <c r="L157" s="47" t="str">
        <f>IF($A157="", "", IFERROR(($E157 * Premissas!$B$4 * ($I157/$B157) + $E156 * Premissas!$B$5 * ($I156/$B156)) * Premissas!$B$7, 0))</f>
        <v/>
      </c>
      <c r="AI157" s="47" t="str">
        <f>IF($A157="", "", IFERROR(($I157 * Premissas!$B$5) + ($E157 * ($I157/$B157) * Premissas!$B$4 * 12), 0))</f>
        <v/>
      </c>
      <c r="AJ157" s="47" t="str">
        <f>IF($A157="", "", $AI157 * Premissas!$B$12)</f>
        <v/>
      </c>
      <c r="AK157" s="47" t="str">
        <f t="shared" si="13"/>
        <v/>
      </c>
      <c r="AL157" s="47"/>
      <c r="AM157" s="47"/>
    </row>
    <row r="158" ht="15.75" customHeight="1">
      <c r="K158" s="47" t="str">
        <f>IF($A158="", "", IFERROR($E158 * ($I158/$B158) * Premissas!$B$6, 0))</f>
        <v/>
      </c>
      <c r="L158" s="47" t="str">
        <f>IF($A158="", "", IFERROR(($E158 * Premissas!$B$4 * ($I158/$B158) + $E157 * Premissas!$B$5 * ($I157/$B157)) * Premissas!$B$7, 0))</f>
        <v/>
      </c>
      <c r="AI158" s="47" t="str">
        <f>IF($A158="", "", IFERROR(($I158 * Premissas!$B$5) + ($E158 * ($I158/$B158) * Premissas!$B$4 * 12), 0))</f>
        <v/>
      </c>
      <c r="AJ158" s="47" t="str">
        <f>IF($A158="", "", $AI158 * Premissas!$B$12)</f>
        <v/>
      </c>
      <c r="AK158" s="47" t="str">
        <f t="shared" si="13"/>
        <v/>
      </c>
      <c r="AL158" s="47"/>
      <c r="AM158" s="47"/>
    </row>
    <row r="159" ht="15.75" customHeight="1">
      <c r="K159" s="47" t="str">
        <f>IF($A159="", "", IFERROR($E159 * ($I159/$B159) * Premissas!$B$6, 0))</f>
        <v/>
      </c>
      <c r="L159" s="47" t="str">
        <f>IF($A159="", "", IFERROR(($E159 * Premissas!$B$4 * ($I159/$B159) + $E158 * Premissas!$B$5 * ($I158/$B158)) * Premissas!$B$7, 0))</f>
        <v/>
      </c>
      <c r="AI159" s="47" t="str">
        <f>IF($A159="", "", IFERROR(($I159 * Premissas!$B$5) + ($E159 * ($I159/$B159) * Premissas!$B$4 * 12), 0))</f>
        <v/>
      </c>
      <c r="AJ159" s="47" t="str">
        <f>IF($A159="", "", $AI159 * Premissas!$B$12)</f>
        <v/>
      </c>
      <c r="AK159" s="47" t="str">
        <f t="shared" si="13"/>
        <v/>
      </c>
      <c r="AL159" s="47"/>
      <c r="AM159" s="47"/>
    </row>
    <row r="160" ht="15.75" customHeight="1">
      <c r="K160" s="47" t="str">
        <f>IF($A160="", "", IFERROR($E160 * ($I160/$B160) * Premissas!$B$6, 0))</f>
        <v/>
      </c>
      <c r="L160" s="47" t="str">
        <f>IF($A160="", "", IFERROR(($E160 * Premissas!$B$4 * ($I160/$B160) + $E159 * Premissas!$B$5 * ($I159/$B159)) * Premissas!$B$7, 0))</f>
        <v/>
      </c>
      <c r="AI160" s="47" t="str">
        <f>IF($A160="", "", IFERROR(($I160 * Premissas!$B$5) + ($E160 * ($I160/$B160) * Premissas!$B$4 * 12), 0))</f>
        <v/>
      </c>
      <c r="AJ160" s="47" t="str">
        <f>IF($A160="", "", $AI160 * Premissas!$B$12)</f>
        <v/>
      </c>
      <c r="AK160" s="47" t="str">
        <f t="shared" si="13"/>
        <v/>
      </c>
      <c r="AL160" s="47"/>
      <c r="AM160" s="47"/>
    </row>
    <row r="161" ht="15.75" customHeight="1">
      <c r="K161" s="47" t="str">
        <f>IF($A161="", "", IFERROR($E161 * ($I161/$B161) * Premissas!$B$6, 0))</f>
        <v/>
      </c>
      <c r="L161" s="47" t="str">
        <f>IF($A161="", "", IFERROR(($E161 * Premissas!$B$4 * ($I161/$B161) + $E160 * Premissas!$B$5 * ($I160/$B160)) * Premissas!$B$7, 0))</f>
        <v/>
      </c>
      <c r="AI161" s="47" t="str">
        <f>IF($A161="", "", IFERROR(($I161 * Premissas!$B$5) + ($E161 * ($I161/$B161) * Premissas!$B$4 * 12), 0))</f>
        <v/>
      </c>
      <c r="AJ161" s="47" t="str">
        <f>IF($A161="", "", $AI161 * Premissas!$B$12)</f>
        <v/>
      </c>
      <c r="AK161" s="47" t="str">
        <f t="shared" si="13"/>
        <v/>
      </c>
      <c r="AL161" s="47"/>
      <c r="AM161" s="47"/>
    </row>
    <row r="162" ht="15.75" customHeight="1">
      <c r="K162" s="47" t="str">
        <f>IF($A162="", "", IFERROR($E162 * ($I162/$B162) * Premissas!$B$6, 0))</f>
        <v/>
      </c>
      <c r="L162" s="47" t="str">
        <f>IF($A162="", "", IFERROR(($E162 * Premissas!$B$4 * ($I162/$B162) + $E161 * Premissas!$B$5 * ($I161/$B161)) * Premissas!$B$7, 0))</f>
        <v/>
      </c>
      <c r="AI162" s="47" t="str">
        <f>IF($A162="", "", IFERROR(($I162 * Premissas!$B$5) + ($E162 * ($I162/$B162) * Premissas!$B$4 * 12), 0))</f>
        <v/>
      </c>
      <c r="AJ162" s="47" t="str">
        <f>IF($A162="", "", $AI162 * Premissas!$B$12)</f>
        <v/>
      </c>
      <c r="AK162" s="47" t="str">
        <f t="shared" si="13"/>
        <v/>
      </c>
      <c r="AL162" s="47"/>
      <c r="AM162" s="47"/>
    </row>
    <row r="163" ht="15.75" customHeight="1">
      <c r="K163" s="47" t="str">
        <f>IF($A163="", "", IFERROR($E163 * ($I163/$B163) * Premissas!$B$6, 0))</f>
        <v/>
      </c>
      <c r="L163" s="47" t="str">
        <f>IF($A163="", "", IFERROR(($E163 * Premissas!$B$4 * ($I163/$B163) + $E162 * Premissas!$B$5 * ($I162/$B162)) * Premissas!$B$7, 0))</f>
        <v/>
      </c>
      <c r="AI163" s="47" t="str">
        <f>IF($A163="", "", IFERROR(($I163 * Premissas!$B$5) + ($E163 * ($I163/$B163) * Premissas!$B$4 * 12), 0))</f>
        <v/>
      </c>
      <c r="AJ163" s="47" t="str">
        <f>IF($A163="", "", $AI163 * Premissas!$B$12)</f>
        <v/>
      </c>
      <c r="AK163" s="47" t="str">
        <f t="shared" si="13"/>
        <v/>
      </c>
      <c r="AL163" s="47"/>
      <c r="AM163" s="47"/>
    </row>
    <row r="164" ht="15.75" customHeight="1">
      <c r="K164" s="47" t="str">
        <f>IF($A164="", "", IFERROR($E164 * ($I164/$B164) * Premissas!$B$6, 0))</f>
        <v/>
      </c>
      <c r="L164" s="47" t="str">
        <f>IF($A164="", "", IFERROR(($E164 * Premissas!$B$4 * ($I164/$B164) + $E163 * Premissas!$B$5 * ($I163/$B163)) * Premissas!$B$7, 0))</f>
        <v/>
      </c>
      <c r="AI164" s="47" t="str">
        <f>IF($A164="", "", IFERROR(($I164 * Premissas!$B$5) + ($E164 * ($I164/$B164) * Premissas!$B$4 * 12), 0))</f>
        <v/>
      </c>
      <c r="AJ164" s="47" t="str">
        <f>IF($A164="", "", $AI164 * Premissas!$B$12)</f>
        <v/>
      </c>
      <c r="AK164" s="47" t="str">
        <f t="shared" si="13"/>
        <v/>
      </c>
      <c r="AL164" s="47"/>
      <c r="AM164" s="47"/>
    </row>
    <row r="165" ht="15.75" customHeight="1">
      <c r="K165" s="47" t="str">
        <f>IF($A165="", "", IFERROR($E165 * ($I165/$B165) * Premissas!$B$6, 0))</f>
        <v/>
      </c>
      <c r="L165" s="47" t="str">
        <f>IF($A165="", "", IFERROR(($E165 * Premissas!$B$4 * ($I165/$B165) + $E164 * Premissas!$B$5 * ($I164/$B164)) * Premissas!$B$7, 0))</f>
        <v/>
      </c>
      <c r="AI165" s="47" t="str">
        <f>IF($A165="", "", IFERROR(($I165 * Premissas!$B$5) + ($E165 * ($I165/$B165) * Premissas!$B$4 * 12), 0))</f>
        <v/>
      </c>
      <c r="AJ165" s="47" t="str">
        <f>IF($A165="", "", $AI165 * Premissas!$B$12)</f>
        <v/>
      </c>
      <c r="AK165" s="47" t="str">
        <f t="shared" si="13"/>
        <v/>
      </c>
      <c r="AL165" s="47"/>
      <c r="AM165" s="47"/>
    </row>
    <row r="166" ht="15.75" customHeight="1">
      <c r="K166" s="47" t="str">
        <f>IF($A166="", "", IFERROR($E166 * ($I166/$B166) * Premissas!$B$6, 0))</f>
        <v/>
      </c>
      <c r="L166" s="47" t="str">
        <f>IF($A166="", "", IFERROR(($E166 * Premissas!$B$4 * ($I166/$B166) + $E165 * Premissas!$B$5 * ($I165/$B165)) * Premissas!$B$7, 0))</f>
        <v/>
      </c>
      <c r="AI166" s="47" t="str">
        <f>IF($A166="", "", IFERROR(($I166 * Premissas!$B$5) + ($E166 * ($I166/$B166) * Premissas!$B$4 * 12), 0))</f>
        <v/>
      </c>
      <c r="AJ166" s="47" t="str">
        <f>IF($A166="", "", $AI166 * Premissas!$B$12)</f>
        <v/>
      </c>
      <c r="AK166" s="47" t="str">
        <f t="shared" si="13"/>
        <v/>
      </c>
      <c r="AL166" s="47"/>
      <c r="AM166" s="47"/>
    </row>
    <row r="167" ht="15.75" customHeight="1">
      <c r="K167" s="47" t="str">
        <f>IF($A167="", "", IFERROR($E167 * ($I167/$B167) * Premissas!$B$6, 0))</f>
        <v/>
      </c>
      <c r="L167" s="47" t="str">
        <f>IF($A167="", "", IFERROR(($E167 * Premissas!$B$4 * ($I167/$B167) + $E166 * Premissas!$B$5 * ($I166/$B166)) * Premissas!$B$7, 0))</f>
        <v/>
      </c>
      <c r="AI167" s="47" t="str">
        <f>IF($A167="", "", IFERROR(($I167 * Premissas!$B$5) + ($E167 * ($I167/$B167) * Premissas!$B$4 * 12), 0))</f>
        <v/>
      </c>
      <c r="AJ167" s="47" t="str">
        <f>IF($A167="", "", $AI167 * Premissas!$B$12)</f>
        <v/>
      </c>
      <c r="AK167" s="47" t="str">
        <f t="shared" si="13"/>
        <v/>
      </c>
      <c r="AL167" s="47"/>
      <c r="AM167" s="47"/>
    </row>
    <row r="168" ht="15.75" customHeight="1">
      <c r="K168" s="47" t="str">
        <f>IF($A168="", "", IFERROR($E168 * ($I168/$B168) * Premissas!$B$6, 0))</f>
        <v/>
      </c>
      <c r="L168" s="47" t="str">
        <f>IF($A168="", "", IFERROR(($E168 * Premissas!$B$4 * ($I168/$B168) + $E167 * Premissas!$B$5 * ($I167/$B167)) * Premissas!$B$7, 0))</f>
        <v/>
      </c>
      <c r="AI168" s="47" t="str">
        <f>IF($A168="", "", IFERROR(($I168 * Premissas!$B$5) + ($E168 * ($I168/$B168) * Premissas!$B$4 * 12), 0))</f>
        <v/>
      </c>
      <c r="AJ168" s="47" t="str">
        <f>IF($A168="", "", $AI168 * Premissas!$B$12)</f>
        <v/>
      </c>
      <c r="AK168" s="47" t="str">
        <f t="shared" si="13"/>
        <v/>
      </c>
      <c r="AL168" s="47"/>
      <c r="AM168" s="47"/>
    </row>
    <row r="169" ht="15.75" customHeight="1">
      <c r="K169" s="47" t="str">
        <f>IF($A169="", "", IFERROR($E169 * ($I169/$B169) * Premissas!$B$6, 0))</f>
        <v/>
      </c>
      <c r="L169" s="47" t="str">
        <f>IF($A169="", "", IFERROR(($E169 * Premissas!$B$4 * ($I169/$B169) + $E168 * Premissas!$B$5 * ($I168/$B168)) * Premissas!$B$7, 0))</f>
        <v/>
      </c>
      <c r="AI169" s="47" t="str">
        <f>IF($A169="", "", IFERROR(($I169 * Premissas!$B$5) + ($E169 * ($I169/$B169) * Premissas!$B$4 * 12), 0))</f>
        <v/>
      </c>
      <c r="AJ169" s="47" t="str">
        <f>IF($A169="", "", $AI169 * Premissas!$B$12)</f>
        <v/>
      </c>
      <c r="AK169" s="47" t="str">
        <f t="shared" si="13"/>
        <v/>
      </c>
      <c r="AL169" s="47"/>
      <c r="AM169" s="47"/>
    </row>
    <row r="170" ht="15.75" customHeight="1">
      <c r="K170" s="47" t="str">
        <f>IF($A170="", "", IFERROR($E170 * ($I170/$B170) * Premissas!$B$6, 0))</f>
        <v/>
      </c>
      <c r="L170" s="47" t="str">
        <f>IF($A170="", "", IFERROR(($E170 * Premissas!$B$4 * ($I170/$B170) + $E169 * Premissas!$B$5 * ($I169/$B169)) * Premissas!$B$7, 0))</f>
        <v/>
      </c>
      <c r="AI170" s="47" t="str">
        <f>IF($A170="", "", IFERROR(($I170 * Premissas!$B$5) + ($E170 * ($I170/$B170) * Premissas!$B$4 * 12), 0))</f>
        <v/>
      </c>
      <c r="AJ170" s="47" t="str">
        <f>IF($A170="", "", $AI170 * Premissas!$B$12)</f>
        <v/>
      </c>
      <c r="AK170" s="47" t="str">
        <f t="shared" si="13"/>
        <v/>
      </c>
      <c r="AL170" s="47"/>
      <c r="AM170" s="47"/>
    </row>
    <row r="171" ht="15.75" customHeight="1">
      <c r="K171" s="47" t="str">
        <f>IF($A171="", "", IFERROR($E171 * ($I171/$B171) * Premissas!$B$6, 0))</f>
        <v/>
      </c>
      <c r="L171" s="47" t="str">
        <f>IF($A171="", "", IFERROR(($E171 * Premissas!$B$4 * ($I171/$B171) + $E170 * Premissas!$B$5 * ($I170/$B170)) * Premissas!$B$7, 0))</f>
        <v/>
      </c>
      <c r="AI171" s="47" t="str">
        <f>IF($A171="", "", IFERROR(($I171 * Premissas!$B$5) + ($E171 * ($I171/$B171) * Premissas!$B$4 * 12), 0))</f>
        <v/>
      </c>
      <c r="AJ171" s="47" t="str">
        <f>IF($A171="", "", $AI171 * Premissas!$B$12)</f>
        <v/>
      </c>
      <c r="AK171" s="47" t="str">
        <f t="shared" si="13"/>
        <v/>
      </c>
      <c r="AL171" s="47"/>
      <c r="AM171" s="47"/>
    </row>
    <row r="172" ht="15.75" customHeight="1">
      <c r="K172" s="47" t="str">
        <f>IF($A172="", "", IFERROR($E172 * ($I172/$B172) * Premissas!$B$6, 0))</f>
        <v/>
      </c>
      <c r="L172" s="47" t="str">
        <f>IF($A172="", "", IFERROR(($E172 * Premissas!$B$4 * ($I172/$B172) + $E171 * Premissas!$B$5 * ($I171/$B171)) * Premissas!$B$7, 0))</f>
        <v/>
      </c>
      <c r="AI172" s="47" t="str">
        <f>IF($A172="", "", IFERROR(($I172 * Premissas!$B$5) + ($E172 * ($I172/$B172) * Premissas!$B$4 * 12), 0))</f>
        <v/>
      </c>
      <c r="AJ172" s="47" t="str">
        <f>IF($A172="", "", $AI172 * Premissas!$B$12)</f>
        <v/>
      </c>
      <c r="AK172" s="47" t="str">
        <f t="shared" si="13"/>
        <v/>
      </c>
      <c r="AL172" s="47"/>
      <c r="AM172" s="47"/>
    </row>
    <row r="173" ht="15.75" customHeight="1">
      <c r="K173" s="47" t="str">
        <f>IF($A173="", "", IFERROR($E173 * ($I173/$B173) * Premissas!$B$6, 0))</f>
        <v/>
      </c>
      <c r="L173" s="47" t="str">
        <f>IF($A173="", "", IFERROR(($E173 * Premissas!$B$4 * ($I173/$B173) + $E172 * Premissas!$B$5 * ($I172/$B172)) * Premissas!$B$7, 0))</f>
        <v/>
      </c>
      <c r="AI173" s="47" t="str">
        <f>IF($A173="", "", IFERROR(($I173 * Premissas!$B$5) + ($E173 * ($I173/$B173) * Premissas!$B$4 * 12), 0))</f>
        <v/>
      </c>
      <c r="AJ173" s="47" t="str">
        <f>IF($A173="", "", $AI173 * Premissas!$B$12)</f>
        <v/>
      </c>
      <c r="AK173" s="47" t="str">
        <f t="shared" si="13"/>
        <v/>
      </c>
      <c r="AL173" s="47"/>
      <c r="AM173" s="47"/>
    </row>
    <row r="174" ht="15.75" customHeight="1">
      <c r="K174" s="47" t="str">
        <f>IF($A174="", "", IFERROR($E174 * ($I174/$B174) * Premissas!$B$6, 0))</f>
        <v/>
      </c>
      <c r="L174" s="47" t="str">
        <f>IF($A174="", "", IFERROR(($E174 * Premissas!$B$4 * ($I174/$B174) + $E173 * Premissas!$B$5 * ($I173/$B173)) * Premissas!$B$7, 0))</f>
        <v/>
      </c>
      <c r="AI174" s="47" t="str">
        <f>IF($A174="", "", IFERROR(($I174 * Premissas!$B$5) + ($E174 * ($I174/$B174) * Premissas!$B$4 * 12), 0))</f>
        <v/>
      </c>
      <c r="AJ174" s="47" t="str">
        <f>IF($A174="", "", $AI174 * Premissas!$B$12)</f>
        <v/>
      </c>
      <c r="AK174" s="47" t="str">
        <f t="shared" si="13"/>
        <v/>
      </c>
      <c r="AL174" s="47"/>
      <c r="AM174" s="47"/>
    </row>
    <row r="175" ht="15.75" customHeight="1">
      <c r="K175" s="47" t="str">
        <f>IF($A175="", "", IFERROR($E175 * ($I175/$B175) * Premissas!$B$6, 0))</f>
        <v/>
      </c>
      <c r="L175" s="47" t="str">
        <f>IF($A175="", "", IFERROR(($E175 * Premissas!$B$4 * ($I175/$B175) + $E174 * Premissas!$B$5 * ($I174/$B174)) * Premissas!$B$7, 0))</f>
        <v/>
      </c>
      <c r="AI175" s="47" t="str">
        <f>IF($A175="", "", IFERROR(($I175 * Premissas!$B$5) + ($E175 * ($I175/$B175) * Premissas!$B$4 * 12), 0))</f>
        <v/>
      </c>
      <c r="AJ175" s="47" t="str">
        <f>IF($A175="", "", $AI175 * Premissas!$B$12)</f>
        <v/>
      </c>
      <c r="AK175" s="47" t="str">
        <f t="shared" si="13"/>
        <v/>
      </c>
      <c r="AL175" s="47"/>
      <c r="AM175" s="47"/>
    </row>
    <row r="176" ht="15.75" customHeight="1">
      <c r="K176" s="47" t="str">
        <f>IF($A176="", "", IFERROR($E176 * ($I176/$B176) * Premissas!$B$6, 0))</f>
        <v/>
      </c>
      <c r="L176" s="47" t="str">
        <f>IF($A176="", "", IFERROR(($E176 * Premissas!$B$4 * ($I176/$B176) + $E175 * Premissas!$B$5 * ($I175/$B175)) * Premissas!$B$7, 0))</f>
        <v/>
      </c>
      <c r="AI176" s="47" t="str">
        <f>IF($A176="", "", IFERROR(($I176 * Premissas!$B$5) + ($E176 * ($I176/$B176) * Premissas!$B$4 * 12), 0))</f>
        <v/>
      </c>
      <c r="AJ176" s="47" t="str">
        <f>IF($A176="", "", $AI176 * Premissas!$B$12)</f>
        <v/>
      </c>
      <c r="AK176" s="47" t="str">
        <f t="shared" si="13"/>
        <v/>
      </c>
      <c r="AL176" s="47"/>
      <c r="AM176" s="47"/>
    </row>
    <row r="177" ht="15.75" customHeight="1">
      <c r="K177" s="47" t="str">
        <f>IF($A177="", "", IFERROR($E177 * ($I177/$B177) * Premissas!$B$6, 0))</f>
        <v/>
      </c>
      <c r="L177" s="47" t="str">
        <f>IF($A177="", "", IFERROR(($E177 * Premissas!$B$4 * ($I177/$B177) + $E176 * Premissas!$B$5 * ($I176/$B176)) * Premissas!$B$7, 0))</f>
        <v/>
      </c>
      <c r="AI177" s="47" t="str">
        <f>IF($A177="", "", IFERROR(($I177 * Premissas!$B$5) + ($E177 * ($I177/$B177) * Premissas!$B$4 * 12), 0))</f>
        <v/>
      </c>
      <c r="AJ177" s="47" t="str">
        <f>IF($A177="", "", $AI177 * Premissas!$B$12)</f>
        <v/>
      </c>
      <c r="AK177" s="47" t="str">
        <f t="shared" si="13"/>
        <v/>
      </c>
      <c r="AL177" s="47"/>
      <c r="AM177" s="47"/>
    </row>
    <row r="178" ht="15.75" customHeight="1">
      <c r="K178" s="47" t="str">
        <f>IF($A178="", "", IFERROR($E178 * ($I178/$B178) * Premissas!$B$6, 0))</f>
        <v/>
      </c>
      <c r="L178" s="47" t="str">
        <f>IF($A178="", "", IFERROR(($E178 * Premissas!$B$4 * ($I178/$B178) + $E177 * Premissas!$B$5 * ($I177/$B177)) * Premissas!$B$7, 0))</f>
        <v/>
      </c>
      <c r="AI178" s="47" t="str">
        <f>IF($A178="", "", IFERROR(($I178 * Premissas!$B$5) + ($E178 * ($I178/$B178) * Premissas!$B$4 * 12), 0))</f>
        <v/>
      </c>
      <c r="AJ178" s="47" t="str">
        <f>IF($A178="", "", $AI178 * Premissas!$B$12)</f>
        <v/>
      </c>
      <c r="AK178" s="47" t="str">
        <f t="shared" si="13"/>
        <v/>
      </c>
      <c r="AL178" s="47"/>
      <c r="AM178" s="47"/>
    </row>
    <row r="179" ht="15.75" customHeight="1">
      <c r="K179" s="47" t="str">
        <f>IF($A179="", "", IFERROR($E179 * ($I179/$B179) * Premissas!$B$6, 0))</f>
        <v/>
      </c>
      <c r="L179" s="47" t="str">
        <f>IF($A179="", "", IFERROR(($E179 * Premissas!$B$4 * ($I179/$B179) + $E178 * Premissas!$B$5 * ($I178/$B178)) * Premissas!$B$7, 0))</f>
        <v/>
      </c>
      <c r="AI179" s="47" t="str">
        <f>IF($A179="", "", IFERROR(($I179 * Premissas!$B$5) + ($E179 * ($I179/$B179) * Premissas!$B$4 * 12), 0))</f>
        <v/>
      </c>
      <c r="AJ179" s="47" t="str">
        <f>IF($A179="", "", $AI179 * Premissas!$B$12)</f>
        <v/>
      </c>
      <c r="AK179" s="47" t="str">
        <f t="shared" si="13"/>
        <v/>
      </c>
      <c r="AL179" s="47"/>
      <c r="AM179" s="47"/>
    </row>
    <row r="180" ht="15.75" customHeight="1">
      <c r="K180" s="47" t="str">
        <f>IF($A180="", "", IFERROR($E180 * ($I180/$B180) * Premissas!$B$6, 0))</f>
        <v/>
      </c>
      <c r="L180" s="47" t="str">
        <f>IF($A180="", "", IFERROR(($E180 * Premissas!$B$4 * ($I180/$B180) + $E179 * Premissas!$B$5 * ($I179/$B179)) * Premissas!$B$7, 0))</f>
        <v/>
      </c>
      <c r="AI180" s="47" t="str">
        <f>IF($A180="", "", IFERROR(($I180 * Premissas!$B$5) + ($E180 * ($I180/$B180) * Premissas!$B$4 * 12), 0))</f>
        <v/>
      </c>
      <c r="AJ180" s="47" t="str">
        <f>IF($A180="", "", $AI180 * Premissas!$B$12)</f>
        <v/>
      </c>
      <c r="AK180" s="47" t="str">
        <f t="shared" si="13"/>
        <v/>
      </c>
      <c r="AL180" s="47"/>
      <c r="AM180" s="47"/>
    </row>
    <row r="181" ht="15.75" customHeight="1">
      <c r="K181" s="47" t="str">
        <f>IF($A181="", "", IFERROR($E181 * ($I181/$B181) * Premissas!$B$6, 0))</f>
        <v/>
      </c>
      <c r="L181" s="47" t="str">
        <f>IF($A181="", "", IFERROR(($E181 * Premissas!$B$4 * ($I181/$B181) + $E180 * Premissas!$B$5 * ($I180/$B180)) * Premissas!$B$7, 0))</f>
        <v/>
      </c>
      <c r="AI181" s="47" t="str">
        <f>IF($A181="", "", IFERROR(($I181 * Premissas!$B$5) + ($E181 * ($I181/$B181) * Premissas!$B$4 * 12), 0))</f>
        <v/>
      </c>
      <c r="AJ181" s="47" t="str">
        <f>IF($A181="", "", $AI181 * Premissas!$B$12)</f>
        <v/>
      </c>
      <c r="AK181" s="47" t="str">
        <f t="shared" si="13"/>
        <v/>
      </c>
      <c r="AL181" s="47"/>
      <c r="AM181" s="47"/>
    </row>
    <row r="182" ht="15.75" customHeight="1">
      <c r="K182" s="47" t="str">
        <f>IF($A182="", "", IFERROR($E182 * ($I182/$B182) * Premissas!$B$6, 0))</f>
        <v/>
      </c>
      <c r="L182" s="47" t="str">
        <f>IF($A182="", "", IFERROR(($E182 * Premissas!$B$4 * ($I182/$B182) + $E181 * Premissas!$B$5 * ($I181/$B181)) * Premissas!$B$7, 0))</f>
        <v/>
      </c>
      <c r="AI182" s="47" t="str">
        <f>IF($A182="", "", IFERROR(($I182 * Premissas!$B$5) + ($E182 * ($I182/$B182) * Premissas!$B$4 * 12), 0))</f>
        <v/>
      </c>
      <c r="AJ182" s="47" t="str">
        <f>IF($A182="", "", $AI182 * Premissas!$B$12)</f>
        <v/>
      </c>
      <c r="AK182" s="47" t="str">
        <f t="shared" si="13"/>
        <v/>
      </c>
      <c r="AL182" s="47"/>
      <c r="AM182" s="47"/>
    </row>
    <row r="183" ht="15.75" customHeight="1">
      <c r="K183" s="47" t="str">
        <f>IF($A183="", "", IFERROR($E183 * ($I183/$B183) * Premissas!$B$6, 0))</f>
        <v/>
      </c>
      <c r="L183" s="47" t="str">
        <f>IF($A183="", "", IFERROR(($E183 * Premissas!$B$4 * ($I183/$B183) + $E182 * Premissas!$B$5 * ($I182/$B182)) * Premissas!$B$7, 0))</f>
        <v/>
      </c>
      <c r="AI183" s="47" t="str">
        <f>IF($A183="", "", IFERROR(($I183 * Premissas!$B$5) + ($E183 * ($I183/$B183) * Premissas!$B$4 * 12), 0))</f>
        <v/>
      </c>
      <c r="AJ183" s="47" t="str">
        <f>IF($A183="", "", $AI183 * Premissas!$B$12)</f>
        <v/>
      </c>
      <c r="AK183" s="47" t="str">
        <f t="shared" si="13"/>
        <v/>
      </c>
      <c r="AL183" s="47"/>
      <c r="AM183" s="47"/>
    </row>
    <row r="184" ht="15.75" customHeight="1">
      <c r="K184" s="47" t="str">
        <f>IF($A184="", "", IFERROR($E184 * ($I184/$B184) * Premissas!$B$6, 0))</f>
        <v/>
      </c>
      <c r="L184" s="47" t="str">
        <f>IF($A184="", "", IFERROR(($E184 * Premissas!$B$4 * ($I184/$B184) + $E183 * Premissas!$B$5 * ($I183/$B183)) * Premissas!$B$7, 0))</f>
        <v/>
      </c>
      <c r="AI184" s="47" t="str">
        <f>IF($A184="", "", IFERROR(($I184 * Premissas!$B$5) + ($E184 * ($I184/$B184) * Premissas!$B$4 * 12), 0))</f>
        <v/>
      </c>
      <c r="AJ184" s="47" t="str">
        <f>IF($A184="", "", $AI184 * Premissas!$B$12)</f>
        <v/>
      </c>
      <c r="AK184" s="47" t="str">
        <f t="shared" si="13"/>
        <v/>
      </c>
      <c r="AL184" s="47"/>
      <c r="AM184" s="47"/>
    </row>
    <row r="185" ht="15.75" customHeight="1">
      <c r="K185" s="47" t="str">
        <f>IF($A185="", "", IFERROR($E185 * ($I185/$B185) * Premissas!$B$6, 0))</f>
        <v/>
      </c>
      <c r="L185" s="47" t="str">
        <f>IF($A185="", "", IFERROR(($E185 * Premissas!$B$4 * ($I185/$B185) + $E184 * Premissas!$B$5 * ($I184/$B184)) * Premissas!$B$7, 0))</f>
        <v/>
      </c>
      <c r="AI185" s="47" t="str">
        <f>IF($A185="", "", IFERROR(($I185 * Premissas!$B$5) + ($E185 * ($I185/$B185) * Premissas!$B$4 * 12), 0))</f>
        <v/>
      </c>
      <c r="AJ185" s="47" t="str">
        <f>IF($A185="", "", $AI185 * Premissas!$B$12)</f>
        <v/>
      </c>
      <c r="AK185" s="47" t="str">
        <f t="shared" si="13"/>
        <v/>
      </c>
      <c r="AL185" s="47"/>
      <c r="AM185" s="47"/>
    </row>
    <row r="186" ht="15.75" customHeight="1">
      <c r="K186" s="47" t="str">
        <f>IF($A186="", "", IFERROR($E186 * ($I186/$B186) * Premissas!$B$6, 0))</f>
        <v/>
      </c>
      <c r="L186" s="47" t="str">
        <f>IF($A186="", "", IFERROR(($E186 * Premissas!$B$4 * ($I186/$B186) + $E185 * Premissas!$B$5 * ($I185/$B185)) * Premissas!$B$7, 0))</f>
        <v/>
      </c>
      <c r="AI186" s="47" t="str">
        <f>IF($A186="", "", IFERROR(($I186 * Premissas!$B$5) + ($E186 * ($I186/$B186) * Premissas!$B$4 * 12), 0))</f>
        <v/>
      </c>
      <c r="AJ186" s="47" t="str">
        <f>IF($A186="", "", $AI186 * Premissas!$B$12)</f>
        <v/>
      </c>
      <c r="AK186" s="47" t="str">
        <f t="shared" si="13"/>
        <v/>
      </c>
      <c r="AL186" s="47"/>
      <c r="AM186" s="47"/>
    </row>
    <row r="187" ht="15.75" customHeight="1">
      <c r="K187" s="47" t="str">
        <f>IF($A187="", "", IFERROR($E187 * ($I187/$B187) * Premissas!$B$6, 0))</f>
        <v/>
      </c>
      <c r="L187" s="47" t="str">
        <f>IF($A187="", "", IFERROR(($E187 * Premissas!$B$4 * ($I187/$B187) + $E186 * Premissas!$B$5 * ($I186/$B186)) * Premissas!$B$7, 0))</f>
        <v/>
      </c>
      <c r="AI187" s="47" t="str">
        <f>IF($A187="", "", IFERROR(($I187 * Premissas!$B$5) + ($E187 * ($I187/$B187) * Premissas!$B$4 * 12), 0))</f>
        <v/>
      </c>
      <c r="AJ187" s="47" t="str">
        <f>IF($A187="", "", $AI187 * Premissas!$B$12)</f>
        <v/>
      </c>
      <c r="AK187" s="47" t="str">
        <f t="shared" si="13"/>
        <v/>
      </c>
      <c r="AL187" s="47"/>
      <c r="AM187" s="47"/>
    </row>
    <row r="188" ht="15.75" customHeight="1">
      <c r="K188" s="47" t="str">
        <f>IF($A188="", "", IFERROR($E188 * ($I188/$B188) * Premissas!$B$6, 0))</f>
        <v/>
      </c>
      <c r="L188" s="47" t="str">
        <f>IF($A188="", "", IFERROR(($E188 * Premissas!$B$4 * ($I188/$B188) + $E187 * Premissas!$B$5 * ($I187/$B187)) * Premissas!$B$7, 0))</f>
        <v/>
      </c>
      <c r="AI188" s="47" t="str">
        <f>IF($A188="", "", IFERROR(($I188 * Premissas!$B$5) + ($E188 * ($I188/$B188) * Premissas!$B$4 * 12), 0))</f>
        <v/>
      </c>
      <c r="AJ188" s="47" t="str">
        <f>IF($A188="", "", $AI188 * Premissas!$B$12)</f>
        <v/>
      </c>
      <c r="AK188" s="47" t="str">
        <f t="shared" si="13"/>
        <v/>
      </c>
      <c r="AL188" s="47"/>
      <c r="AM188" s="47"/>
    </row>
    <row r="189" ht="15.75" customHeight="1">
      <c r="K189" s="47" t="str">
        <f>IF($A189="", "", IFERROR($E189 * ($I189/$B189) * Premissas!$B$6, 0))</f>
        <v/>
      </c>
      <c r="L189" s="47" t="str">
        <f>IF($A189="", "", IFERROR(($E189 * Premissas!$B$4 * ($I189/$B189) + $E188 * Premissas!$B$5 * ($I188/$B188)) * Premissas!$B$7, 0))</f>
        <v/>
      </c>
      <c r="AI189" s="47" t="str">
        <f>IF($A189="", "", IFERROR(($I189 * Premissas!$B$5) + ($E189 * ($I189/$B189) * Premissas!$B$4 * 12), 0))</f>
        <v/>
      </c>
      <c r="AJ189" s="47" t="str">
        <f>IF($A189="", "", $AI189 * Premissas!$B$12)</f>
        <v/>
      </c>
      <c r="AK189" s="47" t="str">
        <f t="shared" si="13"/>
        <v/>
      </c>
      <c r="AL189" s="47"/>
      <c r="AM189" s="47"/>
    </row>
    <row r="190" ht="15.75" customHeight="1">
      <c r="K190" s="47" t="str">
        <f>IF($A190="", "", IFERROR($E190 * ($I190/$B190) * Premissas!$B$6, 0))</f>
        <v/>
      </c>
      <c r="L190" s="47" t="str">
        <f>IF($A190="", "", IFERROR(($E190 * Premissas!$B$4 * ($I190/$B190) + $E189 * Premissas!$B$5 * ($I189/$B189)) * Premissas!$B$7, 0))</f>
        <v/>
      </c>
      <c r="AI190" s="47" t="str">
        <f>IF($A190="", "", IFERROR(($I190 * Premissas!$B$5) + ($E190 * ($I190/$B190) * Premissas!$B$4 * 12), 0))</f>
        <v/>
      </c>
      <c r="AJ190" s="47" t="str">
        <f>IF($A190="", "", $AI190 * Premissas!$B$12)</f>
        <v/>
      </c>
      <c r="AK190" s="47" t="str">
        <f t="shared" si="13"/>
        <v/>
      </c>
      <c r="AL190" s="47"/>
      <c r="AM190" s="47"/>
    </row>
    <row r="191" ht="15.75" customHeight="1">
      <c r="K191" s="47" t="str">
        <f>IF($A191="", "", IFERROR($E191 * ($I191/$B191) * Premissas!$B$6, 0))</f>
        <v/>
      </c>
      <c r="L191" s="47" t="str">
        <f>IF($A191="", "", IFERROR(($E191 * Premissas!$B$4 * ($I191/$B191) + $E190 * Premissas!$B$5 * ($I190/$B190)) * Premissas!$B$7, 0))</f>
        <v/>
      </c>
      <c r="AI191" s="47" t="str">
        <f>IF($A191="", "", IFERROR(($I191 * Premissas!$B$5) + ($E191 * ($I191/$B191) * Premissas!$B$4 * 12), 0))</f>
        <v/>
      </c>
      <c r="AJ191" s="47" t="str">
        <f>IF($A191="", "", $AI191 * Premissas!$B$12)</f>
        <v/>
      </c>
      <c r="AK191" s="47" t="str">
        <f t="shared" si="13"/>
        <v/>
      </c>
      <c r="AL191" s="47"/>
      <c r="AM191" s="47"/>
    </row>
    <row r="192" ht="15.75" customHeight="1">
      <c r="K192" s="47" t="str">
        <f>IF($A192="", "", IFERROR($E192 * ($I192/$B192) * Premissas!$B$6, 0))</f>
        <v/>
      </c>
      <c r="L192" s="47" t="str">
        <f>IF($A192="", "", IFERROR(($E192 * Premissas!$B$4 * ($I192/$B192) + $E191 * Premissas!$B$5 * ($I191/$B191)) * Premissas!$B$7, 0))</f>
        <v/>
      </c>
      <c r="AI192" s="47" t="str">
        <f>IF($A192="", "", IFERROR(($I192 * Premissas!$B$5) + ($E192 * ($I192/$B192) * Premissas!$B$4 * 12), 0))</f>
        <v/>
      </c>
      <c r="AJ192" s="47" t="str">
        <f>IF($A192="", "", $AI192 * Premissas!$B$12)</f>
        <v/>
      </c>
      <c r="AK192" s="47" t="str">
        <f t="shared" si="13"/>
        <v/>
      </c>
      <c r="AL192" s="47"/>
      <c r="AM192" s="47"/>
    </row>
    <row r="193" ht="15.75" customHeight="1">
      <c r="K193" s="47" t="str">
        <f>IF($A193="", "", IFERROR($E193 * ($I193/$B193) * Premissas!$B$6, 0))</f>
        <v/>
      </c>
      <c r="L193" s="47" t="str">
        <f>IF($A193="", "", IFERROR(($E193 * Premissas!$B$4 * ($I193/$B193) + $E192 * Premissas!$B$5 * ($I192/$B192)) * Premissas!$B$7, 0))</f>
        <v/>
      </c>
      <c r="AI193" s="47" t="str">
        <f>IF($A193="", "", IFERROR(($I193 * Premissas!$B$5) + ($E193 * ($I193/$B193) * Premissas!$B$4 * 12), 0))</f>
        <v/>
      </c>
      <c r="AJ193" s="47" t="str">
        <f>IF($A193="", "", $AI193 * Premissas!$B$12)</f>
        <v/>
      </c>
      <c r="AK193" s="47" t="str">
        <f t="shared" si="13"/>
        <v/>
      </c>
      <c r="AL193" s="47"/>
      <c r="AM193" s="47"/>
    </row>
    <row r="194" ht="15.75" customHeight="1">
      <c r="K194" s="47" t="str">
        <f>IF($A194="", "", IFERROR($E194 * ($I194/$B194) * Premissas!$B$6, 0))</f>
        <v/>
      </c>
      <c r="L194" s="47" t="str">
        <f>IF($A194="", "", IFERROR(($E194 * Premissas!$B$4 * ($I194/$B194) + $E193 * Premissas!$B$5 * ($I193/$B193)) * Premissas!$B$7, 0))</f>
        <v/>
      </c>
      <c r="AI194" s="47" t="str">
        <f>IF($A194="", "", IFERROR(($I194 * Premissas!$B$5) + ($E194 * ($I194/$B194) * Premissas!$B$4 * 12), 0))</f>
        <v/>
      </c>
      <c r="AJ194" s="47" t="str">
        <f>IF($A194="", "", $AI194 * Premissas!$B$12)</f>
        <v/>
      </c>
      <c r="AK194" s="47" t="str">
        <f t="shared" si="13"/>
        <v/>
      </c>
      <c r="AL194" s="47"/>
      <c r="AM194" s="47"/>
    </row>
    <row r="195" ht="15.75" customHeight="1">
      <c r="K195" s="47" t="str">
        <f>IF($A195="", "", IFERROR($E195 * ($I195/$B195) * Premissas!$B$6, 0))</f>
        <v/>
      </c>
      <c r="L195" s="47" t="str">
        <f>IF($A195="", "", IFERROR(($E195 * Premissas!$B$4 * ($I195/$B195) + $E194 * Premissas!$B$5 * ($I194/$B194)) * Premissas!$B$7, 0))</f>
        <v/>
      </c>
      <c r="AI195" s="47" t="str">
        <f>IF($A195="", "", IFERROR(($I195 * Premissas!$B$5) + ($E195 * ($I195/$B195) * Premissas!$B$4 * 12), 0))</f>
        <v/>
      </c>
      <c r="AJ195" s="47" t="str">
        <f>IF($A195="", "", $AI195 * Premissas!$B$12)</f>
        <v/>
      </c>
      <c r="AK195" s="47" t="str">
        <f t="shared" si="13"/>
        <v/>
      </c>
      <c r="AL195" s="47"/>
      <c r="AM195" s="47"/>
    </row>
    <row r="196" ht="15.75" customHeight="1">
      <c r="K196" s="47" t="str">
        <f>IF($A196="", "", IFERROR($E196 * ($I196/$B196) * Premissas!$B$6, 0))</f>
        <v/>
      </c>
      <c r="L196" s="47" t="str">
        <f>IF($A196="", "", IFERROR(($E196 * Premissas!$B$4 * ($I196/$B196) + $E195 * Premissas!$B$5 * ($I195/$B195)) * Premissas!$B$7, 0))</f>
        <v/>
      </c>
      <c r="AI196" s="47" t="str">
        <f>IF($A196="", "", IFERROR(($I196 * Premissas!$B$5) + ($E196 * ($I196/$B196) * Premissas!$B$4 * 12), 0))</f>
        <v/>
      </c>
      <c r="AJ196" s="47" t="str">
        <f>IF($A196="", "", $AI196 * Premissas!$B$12)</f>
        <v/>
      </c>
      <c r="AK196" s="47" t="str">
        <f t="shared" si="13"/>
        <v/>
      </c>
      <c r="AL196" s="47"/>
      <c r="AM196" s="47"/>
    </row>
    <row r="197" ht="15.75" customHeight="1">
      <c r="K197" s="47" t="str">
        <f>IF($A197="", "", IFERROR($E197 * ($I197/$B197) * Premissas!$B$6, 0))</f>
        <v/>
      </c>
      <c r="L197" s="47" t="str">
        <f>IF($A197="", "", IFERROR(($E197 * Premissas!$B$4 * ($I197/$B197) + $E196 * Premissas!$B$5 * ($I196/$B196)) * Premissas!$B$7, 0))</f>
        <v/>
      </c>
      <c r="AI197" s="47" t="str">
        <f>IF($A197="", "", IFERROR(($I197 * Premissas!$B$5) + ($E197 * ($I197/$B197) * Premissas!$B$4 * 12), 0))</f>
        <v/>
      </c>
      <c r="AJ197" s="47" t="str">
        <f>IF($A197="", "", $AI197 * Premissas!$B$12)</f>
        <v/>
      </c>
      <c r="AK197" s="47" t="str">
        <f t="shared" si="13"/>
        <v/>
      </c>
      <c r="AL197" s="47"/>
      <c r="AM197" s="47"/>
    </row>
    <row r="198" ht="15.75" customHeight="1">
      <c r="K198" s="47" t="str">
        <f>IF($A198="", "", IFERROR($E198 * ($I198/$B198) * Premissas!$B$6, 0))</f>
        <v/>
      </c>
      <c r="L198" s="47" t="str">
        <f>IF($A198="", "", IFERROR(($E198 * Premissas!$B$4 * ($I198/$B198) + $E197 * Premissas!$B$5 * ($I197/$B197)) * Premissas!$B$7, 0))</f>
        <v/>
      </c>
      <c r="AI198" s="47" t="str">
        <f>IF($A198="", "", IFERROR(($I198 * Premissas!$B$5) + ($E198 * ($I198/$B198) * Premissas!$B$4 * 12), 0))</f>
        <v/>
      </c>
      <c r="AJ198" s="47" t="str">
        <f>IF($A198="", "", $AI198 * Premissas!$B$12)</f>
        <v/>
      </c>
      <c r="AK198" s="47" t="str">
        <f t="shared" si="13"/>
        <v/>
      </c>
      <c r="AL198" s="47"/>
      <c r="AM198" s="47"/>
    </row>
    <row r="199" ht="15.75" customHeight="1">
      <c r="K199" s="47" t="str">
        <f>IF($A199="", "", IFERROR($E199 * ($I199/$B199) * Premissas!$B$6, 0))</f>
        <v/>
      </c>
      <c r="L199" s="47" t="str">
        <f>IF($A199="", "", IFERROR(($E199 * Premissas!$B$4 * ($I199/$B199) + $E198 * Premissas!$B$5 * ($I198/$B198)) * Premissas!$B$7, 0))</f>
        <v/>
      </c>
      <c r="AI199" s="47" t="str">
        <f>IF($A199="", "", IFERROR(($I199 * Premissas!$B$5) + ($E199 * ($I199/$B199) * Premissas!$B$4 * 12), 0))</f>
        <v/>
      </c>
      <c r="AJ199" s="47" t="str">
        <f>IF($A199="", "", $AI199 * Premissas!$B$12)</f>
        <v/>
      </c>
      <c r="AK199" s="47" t="str">
        <f t="shared" si="13"/>
        <v/>
      </c>
      <c r="AL199" s="47"/>
      <c r="AM199" s="47"/>
    </row>
    <row r="200" ht="15.75" customHeight="1">
      <c r="K200" s="47" t="str">
        <f>IF($A200="", "", IFERROR($E200 * ($I200/$B200) * Premissas!$B$6, 0))</f>
        <v/>
      </c>
      <c r="L200" s="47" t="str">
        <f>IF($A200="", "", IFERROR(($E200 * Premissas!$B$4 * ($I200/$B200) + $E199 * Premissas!$B$5 * ($I199/$B199)) * Premissas!$B$7, 0))</f>
        <v/>
      </c>
      <c r="AI200" s="47" t="str">
        <f>IF($A200="", "", IFERROR(($I200 * Premissas!$B$5) + ($E200 * ($I200/$B200) * Premissas!$B$4 * 12), 0))</f>
        <v/>
      </c>
      <c r="AJ200" s="47" t="str">
        <f>IF($A200="", "", $AI200 * Premissas!$B$12)</f>
        <v/>
      </c>
      <c r="AK200" s="47" t="str">
        <f t="shared" si="13"/>
        <v/>
      </c>
      <c r="AL200" s="47"/>
      <c r="AM200" s="47"/>
    </row>
    <row r="201" ht="15.75" customHeight="1">
      <c r="K201" s="47" t="str">
        <f>IF($A201="", "", IFERROR($E201 * ($I201/$B201) * Premissas!$B$6, 0))</f>
        <v/>
      </c>
      <c r="L201" s="47" t="str">
        <f>IF($A201="", "", IFERROR(($E201 * Premissas!$B$4 * ($I201/$B201) + $E200 * Premissas!$B$5 * ($I200/$B200)) * Premissas!$B$7, 0))</f>
        <v/>
      </c>
      <c r="AI201" s="47" t="str">
        <f>IF($A201="", "", IFERROR(($I201 * Premissas!$B$5) + ($E201 * ($I201/$B201) * Premissas!$B$4 * 12), 0))</f>
        <v/>
      </c>
      <c r="AJ201" s="47" t="str">
        <f>IF($A201="", "", $AI201 * Premissas!$B$12)</f>
        <v/>
      </c>
      <c r="AK201" s="47" t="str">
        <f t="shared" si="13"/>
        <v/>
      </c>
      <c r="AL201" s="47"/>
      <c r="AM201" s="47"/>
    </row>
    <row r="202" ht="15.75" customHeight="1">
      <c r="K202" s="47" t="str">
        <f>IF($A202="", "", IFERROR($E202 * ($I202/$B202) * Premissas!$B$6, 0))</f>
        <v/>
      </c>
      <c r="L202" s="47" t="str">
        <f>IF($A202="", "", IFERROR(($E202 * Premissas!$B$4 * ($I202/$B202) + $E201 * Premissas!$B$5 * ($I201/$B201)) * Premissas!$B$7, 0))</f>
        <v/>
      </c>
      <c r="AI202" s="47" t="str">
        <f>IF($A202="", "", IFERROR(($I202 * Premissas!$B$5) + ($E202 * ($I202/$B202) * Premissas!$B$4 * 12), 0))</f>
        <v/>
      </c>
      <c r="AJ202" s="47" t="str">
        <f>IF($A202="", "", $AI202 * Premissas!$B$12)</f>
        <v/>
      </c>
      <c r="AK202" s="47" t="str">
        <f t="shared" si="13"/>
        <v/>
      </c>
      <c r="AL202" s="47"/>
      <c r="AM202" s="47"/>
    </row>
    <row r="203" ht="15.75" customHeight="1">
      <c r="K203" s="47" t="str">
        <f>IF($A203="", "", IFERROR($E203 * ($I203/$B203) * Premissas!$B$6, 0))</f>
        <v/>
      </c>
      <c r="L203" s="47" t="str">
        <f>IF($A203="", "", IFERROR(($E203 * Premissas!$B$4 * ($I203/$B203) + $E202 * Premissas!$B$5 * ($I202/$B202)) * Premissas!$B$7, 0))</f>
        <v/>
      </c>
      <c r="AI203" s="47" t="str">
        <f>IF($A203="", "", IFERROR(($I203 * Premissas!$B$5) + ($E203 * ($I203/$B203) * Premissas!$B$4 * 12), 0))</f>
        <v/>
      </c>
      <c r="AJ203" s="47" t="str">
        <f>IF($A203="", "", $AI203 * Premissas!$B$12)</f>
        <v/>
      </c>
      <c r="AK203" s="47" t="str">
        <f t="shared" si="13"/>
        <v/>
      </c>
      <c r="AL203" s="47"/>
      <c r="AM203" s="47"/>
    </row>
    <row r="204" ht="15.75" customHeight="1">
      <c r="K204" s="47" t="str">
        <f>IF($A204="", "", IFERROR($E204 * ($I204/$B204) * Premissas!$B$6, 0))</f>
        <v/>
      </c>
      <c r="L204" s="47" t="str">
        <f>IF($A204="", "", IFERROR(($E204 * Premissas!$B$4 * ($I204/$B204) + $E203 * Premissas!$B$5 * ($I203/$B203)) * Premissas!$B$7, 0))</f>
        <v/>
      </c>
      <c r="AI204" s="47" t="str">
        <f>IF($A204="", "", IFERROR(($I204 * Premissas!$B$5) + ($E204 * ($I204/$B204) * Premissas!$B$4 * 12), 0))</f>
        <v/>
      </c>
      <c r="AJ204" s="47" t="str">
        <f>IF($A204="", "", $AI204 * Premissas!$B$12)</f>
        <v/>
      </c>
      <c r="AK204" s="47" t="str">
        <f t="shared" si="13"/>
        <v/>
      </c>
      <c r="AL204" s="47"/>
      <c r="AM204" s="47"/>
    </row>
    <row r="205" ht="15.75" customHeight="1">
      <c r="K205" s="47" t="str">
        <f>IF($A205="", "", IFERROR($E205 * ($I205/$B205) * Premissas!$B$6, 0))</f>
        <v/>
      </c>
      <c r="L205" s="47" t="str">
        <f>IF($A205="", "", IFERROR(($E205 * Premissas!$B$4 * ($I205/$B205) + $E204 * Premissas!$B$5 * ($I204/$B204)) * Premissas!$B$7, 0))</f>
        <v/>
      </c>
      <c r="AI205" s="47" t="str">
        <f>IF($A205="", "", IFERROR(($I205 * Premissas!$B$5) + ($E205 * ($I205/$B205) * Premissas!$B$4 * 12), 0))</f>
        <v/>
      </c>
      <c r="AJ205" s="47" t="str">
        <f>IF($A205="", "", $AI205 * Premissas!$B$12)</f>
        <v/>
      </c>
      <c r="AK205" s="47" t="str">
        <f t="shared" si="13"/>
        <v/>
      </c>
      <c r="AL205" s="47"/>
      <c r="AM205" s="47"/>
    </row>
    <row r="206" ht="15.75" customHeight="1">
      <c r="K206" s="47" t="str">
        <f>IF($A206="", "", IFERROR($E206 * ($I206/$B206) * Premissas!$B$6, 0))</f>
        <v/>
      </c>
      <c r="L206" s="47" t="str">
        <f>IF($A206="", "", IFERROR(($E206 * Premissas!$B$4 * ($I206/$B206) + $E205 * Premissas!$B$5 * ($I205/$B205)) * Premissas!$B$7, 0))</f>
        <v/>
      </c>
      <c r="AI206" s="47" t="str">
        <f>IF($A206="", "", IFERROR(($I206 * Premissas!$B$5) + ($E206 * ($I206/$B206) * Premissas!$B$4 * 12), 0))</f>
        <v/>
      </c>
      <c r="AJ206" s="47" t="str">
        <f>IF($A206="", "", $AI206 * Premissas!$B$12)</f>
        <v/>
      </c>
      <c r="AK206" s="47" t="str">
        <f t="shared" si="13"/>
        <v/>
      </c>
      <c r="AL206" s="47"/>
      <c r="AM206" s="47"/>
    </row>
    <row r="207" ht="15.75" customHeight="1">
      <c r="K207" s="47" t="str">
        <f>IF($A207="", "", IFERROR($E207 * ($I207/$B207) * Premissas!$B$6, 0))</f>
        <v/>
      </c>
      <c r="L207" s="47" t="str">
        <f>IF($A207="", "", IFERROR(($E207 * Premissas!$B$4 * ($I207/$B207) + $E206 * Premissas!$B$5 * ($I206/$B206)) * Premissas!$B$7, 0))</f>
        <v/>
      </c>
      <c r="AI207" s="47" t="str">
        <f>IF($A207="", "", IFERROR(($I207 * Premissas!$B$5) + ($E207 * ($I207/$B207) * Premissas!$B$4 * 12), 0))</f>
        <v/>
      </c>
      <c r="AJ207" s="47" t="str">
        <f>IF($A207="", "", $AI207 * Premissas!$B$12)</f>
        <v/>
      </c>
      <c r="AK207" s="47" t="str">
        <f t="shared" si="13"/>
        <v/>
      </c>
      <c r="AL207" s="47"/>
      <c r="AM207" s="47"/>
    </row>
    <row r="208" ht="15.75" customHeight="1">
      <c r="K208" s="47" t="str">
        <f>IF($A208="", "", IFERROR($E208 * ($I208/$B208) * Premissas!$B$6, 0))</f>
        <v/>
      </c>
      <c r="L208" s="47" t="str">
        <f>IF($A208="", "", IFERROR(($E208 * Premissas!$B$4 * ($I208/$B208) + $E207 * Premissas!$B$5 * ($I207/$B207)) * Premissas!$B$7, 0))</f>
        <v/>
      </c>
      <c r="AI208" s="47" t="str">
        <f>IF($A208="", "", IFERROR(($I208 * Premissas!$B$5) + ($E208 * ($I208/$B208) * Premissas!$B$4 * 12), 0))</f>
        <v/>
      </c>
      <c r="AJ208" s="47" t="str">
        <f>IF($A208="", "", $AI208 * Premissas!$B$12)</f>
        <v/>
      </c>
      <c r="AK208" s="47" t="str">
        <f t="shared" si="13"/>
        <v/>
      </c>
      <c r="AL208" s="47"/>
      <c r="AM208" s="47"/>
    </row>
    <row r="209" ht="15.75" customHeight="1">
      <c r="K209" s="47" t="str">
        <f>IF($A209="", "", IFERROR($E209 * ($I209/$B209) * Premissas!$B$6, 0))</f>
        <v/>
      </c>
      <c r="L209" s="47" t="str">
        <f>IF($A209="", "", IFERROR(($E209 * Premissas!$B$4 * ($I209/$B209) + $E208 * Premissas!$B$5 * ($I208/$B208)) * Premissas!$B$7, 0))</f>
        <v/>
      </c>
      <c r="AI209" s="47" t="str">
        <f>IF($A209="", "", IFERROR(($I209 * Premissas!$B$5) + ($E209 * ($I209/$B209) * Premissas!$B$4 * 12), 0))</f>
        <v/>
      </c>
      <c r="AJ209" s="47" t="str">
        <f>IF($A209="", "", $AI209 * Premissas!$B$12)</f>
        <v/>
      </c>
      <c r="AK209" s="47" t="str">
        <f t="shared" si="13"/>
        <v/>
      </c>
      <c r="AL209" s="47"/>
      <c r="AM209" s="47"/>
    </row>
    <row r="210" ht="15.75" customHeight="1">
      <c r="K210" s="47" t="str">
        <f>IF($A210="", "", IFERROR($E210 * ($I210/$B210) * Premissas!$B$6, 0))</f>
        <v/>
      </c>
      <c r="L210" s="47" t="str">
        <f>IF($A210="", "", IFERROR(($E210 * Premissas!$B$4 * ($I210/$B210) + $E209 * Premissas!$B$5 * ($I209/$B209)) * Premissas!$B$7, 0))</f>
        <v/>
      </c>
      <c r="AI210" s="47" t="str">
        <f>IF($A210="", "", IFERROR(($I210 * Premissas!$B$5) + ($E210 * ($I210/$B210) * Premissas!$B$4 * 12), 0))</f>
        <v/>
      </c>
      <c r="AJ210" s="47" t="str">
        <f>IF($A210="", "", $AI210 * Premissas!$B$12)</f>
        <v/>
      </c>
      <c r="AK210" s="47" t="str">
        <f t="shared" si="13"/>
        <v/>
      </c>
      <c r="AL210" s="47"/>
      <c r="AM210" s="47"/>
    </row>
    <row r="211" ht="15.75" customHeight="1">
      <c r="K211" s="47" t="str">
        <f>IF($A211="", "", IFERROR($E211 * ($I211/$B211) * Premissas!$B$6, 0))</f>
        <v/>
      </c>
      <c r="L211" s="47" t="str">
        <f>IF($A211="", "", IFERROR(($E211 * Premissas!$B$4 * ($I211/$B211) + $E210 * Premissas!$B$5 * ($I210/$B210)) * Premissas!$B$7, 0))</f>
        <v/>
      </c>
      <c r="AI211" s="47" t="str">
        <f>IF($A211="", "", IFERROR(($I211 * Premissas!$B$5) + ($E211 * ($I211/$B211) * Premissas!$B$4 * 12), 0))</f>
        <v/>
      </c>
      <c r="AJ211" s="47" t="str">
        <f>IF($A211="", "", $AI211 * Premissas!$B$12)</f>
        <v/>
      </c>
      <c r="AK211" s="47" t="str">
        <f t="shared" si="13"/>
        <v/>
      </c>
      <c r="AL211" s="47"/>
      <c r="AM211" s="47"/>
    </row>
    <row r="212" ht="15.75" customHeight="1">
      <c r="K212" s="47" t="str">
        <f>IF($A212="", "", IFERROR($E212 * ($I212/$B212) * Premissas!$B$6, 0))</f>
        <v/>
      </c>
      <c r="L212" s="47" t="str">
        <f>IF($A212="", "", IFERROR(($E212 * Premissas!$B$4 * ($I212/$B212) + $E211 * Premissas!$B$5 * ($I211/$B211)) * Premissas!$B$7, 0))</f>
        <v/>
      </c>
      <c r="AI212" s="47" t="str">
        <f>IF($A212="", "", IFERROR(($I212 * Premissas!$B$5) + ($E212 * ($I212/$B212) * Premissas!$B$4 * 12), 0))</f>
        <v/>
      </c>
      <c r="AJ212" s="47" t="str">
        <f>IF($A212="", "", $AI212 * Premissas!$B$12)</f>
        <v/>
      </c>
      <c r="AK212" s="47" t="str">
        <f t="shared" si="13"/>
        <v/>
      </c>
      <c r="AL212" s="47"/>
      <c r="AM212" s="47"/>
    </row>
    <row r="213" ht="15.75" customHeight="1">
      <c r="K213" s="47" t="str">
        <f>IF($A213="", "", IFERROR($E213 * ($I213/$B213) * Premissas!$B$6, 0))</f>
        <v/>
      </c>
      <c r="L213" s="47" t="str">
        <f>IF($A213="", "", IFERROR(($E213 * Premissas!$B$4 * ($I213/$B213) + $E212 * Premissas!$B$5 * ($I212/$B212)) * Premissas!$B$7, 0))</f>
        <v/>
      </c>
      <c r="AI213" s="47" t="str">
        <f>IF($A213="", "", IFERROR(($I213 * Premissas!$B$5) + ($E213 * ($I213/$B213) * Premissas!$B$4 * 12), 0))</f>
        <v/>
      </c>
      <c r="AJ213" s="47" t="str">
        <f>IF($A213="", "", $AI213 * Premissas!$B$12)</f>
        <v/>
      </c>
      <c r="AK213" s="47" t="str">
        <f t="shared" si="13"/>
        <v/>
      </c>
      <c r="AL213" s="47"/>
      <c r="AM213" s="47"/>
    </row>
    <row r="214" ht="15.75" customHeight="1">
      <c r="K214" s="47" t="str">
        <f>IF($A214="", "", IFERROR($E214 * ($I214/$B214) * Premissas!$B$6, 0))</f>
        <v/>
      </c>
      <c r="L214" s="47" t="str">
        <f>IF($A214="", "", IFERROR(($E214 * Premissas!$B$4 * ($I214/$B214) + $E213 * Premissas!$B$5 * ($I213/$B213)) * Premissas!$B$7, 0))</f>
        <v/>
      </c>
      <c r="AI214" s="47" t="str">
        <f>IF($A214="", "", IFERROR(($I214 * Premissas!$B$5) + ($E214 * ($I214/$B214) * Premissas!$B$4 * 12), 0))</f>
        <v/>
      </c>
      <c r="AJ214" s="47" t="str">
        <f>IF($A214="", "", $AI214 * Premissas!$B$12)</f>
        <v/>
      </c>
      <c r="AK214" s="47" t="str">
        <f t="shared" si="13"/>
        <v/>
      </c>
      <c r="AL214" s="47"/>
      <c r="AM214" s="47"/>
    </row>
    <row r="215" ht="15.75" customHeight="1">
      <c r="K215" s="47" t="str">
        <f>IF($A215="", "", IFERROR($E215 * ($I215/$B215) * Premissas!$B$6, 0))</f>
        <v/>
      </c>
      <c r="L215" s="47" t="str">
        <f>IF($A215="", "", IFERROR(($E215 * Premissas!$B$4 * ($I215/$B215) + $E214 * Premissas!$B$5 * ($I214/$B214)) * Premissas!$B$7, 0))</f>
        <v/>
      </c>
      <c r="AI215" s="47" t="str">
        <f>IF($A215="", "", IFERROR(($I215 * Premissas!$B$5) + ($E215 * ($I215/$B215) * Premissas!$B$4 * 12), 0))</f>
        <v/>
      </c>
      <c r="AJ215" s="47" t="str">
        <f>IF($A215="", "", $AI215 * Premissas!$B$12)</f>
        <v/>
      </c>
      <c r="AK215" s="47" t="str">
        <f t="shared" si="13"/>
        <v/>
      </c>
      <c r="AL215" s="47"/>
      <c r="AM215" s="47"/>
    </row>
    <row r="216" ht="15.75" customHeight="1">
      <c r="K216" s="47" t="str">
        <f>IF($A216="", "", IFERROR($E216 * ($I216/$B216) * Premissas!$B$6, 0))</f>
        <v/>
      </c>
      <c r="L216" s="47" t="str">
        <f>IF($A216="", "", IFERROR(($E216 * Premissas!$B$4 * ($I216/$B216) + $E215 * Premissas!$B$5 * ($I215/$B215)) * Premissas!$B$7, 0))</f>
        <v/>
      </c>
      <c r="AI216" s="47" t="str">
        <f>IF($A216="", "", IFERROR(($I216 * Premissas!$B$5) + ($E216 * ($I216/$B216) * Premissas!$B$4 * 12), 0))</f>
        <v/>
      </c>
      <c r="AJ216" s="47" t="str">
        <f>IF($A216="", "", $AI216 * Premissas!$B$12)</f>
        <v/>
      </c>
      <c r="AK216" s="47" t="str">
        <f t="shared" si="13"/>
        <v/>
      </c>
      <c r="AL216" s="47"/>
      <c r="AM216" s="47"/>
    </row>
    <row r="217" ht="15.75" customHeight="1">
      <c r="K217" s="47" t="str">
        <f>IF($A217="", "", IFERROR($E217 * ($I217/$B217) * Premissas!$B$6, 0))</f>
        <v/>
      </c>
      <c r="L217" s="47" t="str">
        <f>IF($A217="", "", IFERROR(($E217 * Premissas!$B$4 * ($I217/$B217) + $E216 * Premissas!$B$5 * ($I216/$B216)) * Premissas!$B$7, 0))</f>
        <v/>
      </c>
      <c r="AI217" s="47" t="str">
        <f>IF($A217="", "", IFERROR(($I217 * Premissas!$B$5) + ($E217 * ($I217/$B217) * Premissas!$B$4 * 12), 0))</f>
        <v/>
      </c>
      <c r="AJ217" s="47" t="str">
        <f>IF($A217="", "", $AI217 * Premissas!$B$12)</f>
        <v/>
      </c>
      <c r="AK217" s="47" t="str">
        <f t="shared" si="13"/>
        <v/>
      </c>
      <c r="AL217" s="47"/>
      <c r="AM217" s="47"/>
    </row>
    <row r="218" ht="15.75" customHeight="1">
      <c r="K218" s="47" t="str">
        <f>IF($A218="", "", IFERROR($E218 * ($I218/$B218) * Premissas!$B$6, 0))</f>
        <v/>
      </c>
      <c r="L218" s="47" t="str">
        <f>IF($A218="", "", IFERROR(($E218 * Premissas!$B$4 * ($I218/$B218) + $E217 * Premissas!$B$5 * ($I217/$B217)) * Premissas!$B$7, 0))</f>
        <v/>
      </c>
      <c r="AI218" s="47" t="str">
        <f>IF($A218="", "", IFERROR(($I218 * Premissas!$B$5) + ($E218 * ($I218/$B218) * Premissas!$B$4 * 12), 0))</f>
        <v/>
      </c>
      <c r="AJ218" s="47" t="str">
        <f>IF($A218="", "", $AI218 * Premissas!$B$12)</f>
        <v/>
      </c>
      <c r="AK218" s="47" t="str">
        <f t="shared" si="13"/>
        <v/>
      </c>
      <c r="AL218" s="47"/>
      <c r="AM218" s="47"/>
    </row>
    <row r="219" ht="15.75" customHeight="1">
      <c r="K219" s="47" t="str">
        <f>IF($A219="", "", IFERROR($E219 * ($I219/$B219) * Premissas!$B$6, 0))</f>
        <v/>
      </c>
      <c r="L219" s="47" t="str">
        <f>IF($A219="", "", IFERROR(($E219 * Premissas!$B$4 * ($I219/$B219) + $E218 * Premissas!$B$5 * ($I218/$B218)) * Premissas!$B$7, 0))</f>
        <v/>
      </c>
      <c r="AI219" s="47" t="str">
        <f>IF($A219="", "", IFERROR(($I219 * Premissas!$B$5) + ($E219 * ($I219/$B219) * Premissas!$B$4 * 12), 0))</f>
        <v/>
      </c>
      <c r="AJ219" s="47" t="str">
        <f>IF($A219="", "", $AI219 * Premissas!$B$12)</f>
        <v/>
      </c>
      <c r="AK219" s="47" t="str">
        <f t="shared" si="13"/>
        <v/>
      </c>
      <c r="AL219" s="47"/>
      <c r="AM219" s="47"/>
    </row>
    <row r="220" ht="15.75" customHeight="1">
      <c r="K220" s="47" t="str">
        <f>IF($A220="", "", IFERROR($E220 * ($I220/$B220) * Premissas!$B$6, 0))</f>
        <v/>
      </c>
      <c r="L220" s="47" t="str">
        <f>IF($A220="", "", IFERROR(($E220 * Premissas!$B$4 * ($I220/$B220) + $E219 * Premissas!$B$5 * ($I219/$B219)) * Premissas!$B$7, 0))</f>
        <v/>
      </c>
      <c r="AI220" s="47" t="str">
        <f>IF($A220="", "", IFERROR(($I220 * Premissas!$B$5) + ($E220 * ($I220/$B220) * Premissas!$B$4 * 12), 0))</f>
        <v/>
      </c>
      <c r="AJ220" s="47" t="str">
        <f>IF($A220="", "", $AI220 * Premissas!$B$12)</f>
        <v/>
      </c>
      <c r="AK220" s="47" t="str">
        <f t="shared" si="13"/>
        <v/>
      </c>
      <c r="AL220" s="47"/>
      <c r="AM220" s="47"/>
    </row>
    <row r="221" ht="15.75" customHeight="1">
      <c r="K221" s="47" t="str">
        <f>IF($A221="", "", IFERROR($E221 * ($I221/$B221) * Premissas!$B$6, 0))</f>
        <v/>
      </c>
      <c r="L221" s="47" t="str">
        <f>IF($A221="", "", IFERROR(($E221 * Premissas!$B$4 * ($I221/$B221) + $E220 * Premissas!$B$5 * ($I220/$B220)) * Premissas!$B$7, 0))</f>
        <v/>
      </c>
      <c r="AI221" s="47" t="str">
        <f>IF($A221="", "", IFERROR(($I221 * Premissas!$B$5) + ($E221 * ($I221/$B221) * Premissas!$B$4 * 12), 0))</f>
        <v/>
      </c>
      <c r="AJ221" s="47" t="str">
        <f>IF($A221="", "", $AI221 * Premissas!$B$12)</f>
        <v/>
      </c>
      <c r="AK221" s="47" t="str">
        <f t="shared" si="13"/>
        <v/>
      </c>
      <c r="AL221" s="47"/>
      <c r="AM221" s="47"/>
    </row>
    <row r="222" ht="15.75" customHeight="1">
      <c r="K222" s="47" t="str">
        <f>IF($A222="", "", IFERROR($E222 * ($I222/$B222) * Premissas!$B$6, 0))</f>
        <v/>
      </c>
      <c r="L222" s="47" t="str">
        <f>IF($A222="", "", IFERROR(($E222 * Premissas!$B$4 * ($I222/$B222) + $E221 * Premissas!$B$5 * ($I221/$B221)) * Premissas!$B$7, 0))</f>
        <v/>
      </c>
      <c r="AI222" s="47" t="str">
        <f>IF($A222="", "", IFERROR(($I222 * Premissas!$B$5) + ($E222 * ($I222/$B222) * Premissas!$B$4 * 12), 0))</f>
        <v/>
      </c>
      <c r="AJ222" s="47" t="str">
        <f>IF($A222="", "", $AI222 * Premissas!$B$12)</f>
        <v/>
      </c>
      <c r="AK222" s="47" t="str">
        <f t="shared" si="13"/>
        <v/>
      </c>
      <c r="AL222" s="47"/>
      <c r="AM222" s="47"/>
    </row>
    <row r="223" ht="15.75" customHeight="1">
      <c r="K223" s="47" t="str">
        <f>IF($A223="", "", IFERROR($E223 * ($I223/$B223) * Premissas!$B$6, 0))</f>
        <v/>
      </c>
      <c r="L223" s="47" t="str">
        <f>IF($A223="", "", IFERROR(($E223 * Premissas!$B$4 * ($I223/$B223) + $E222 * Premissas!$B$5 * ($I222/$B222)) * Premissas!$B$7, 0))</f>
        <v/>
      </c>
      <c r="AI223" s="47" t="str">
        <f>IF($A223="", "", IFERROR(($I223 * Premissas!$B$5) + ($E223 * ($I223/$B223) * Premissas!$B$4 * 12), 0))</f>
        <v/>
      </c>
      <c r="AJ223" s="47" t="str">
        <f>IF($A223="", "", $AI223 * Premissas!$B$12)</f>
        <v/>
      </c>
      <c r="AK223" s="47" t="str">
        <f t="shared" si="13"/>
        <v/>
      </c>
      <c r="AL223" s="47"/>
      <c r="AM223" s="47"/>
    </row>
    <row r="224" ht="15.75" customHeight="1">
      <c r="K224" s="47" t="str">
        <f>IF($A224="", "", IFERROR($E224 * ($I224/$B224) * Premissas!$B$6, 0))</f>
        <v/>
      </c>
      <c r="L224" s="47" t="str">
        <f>IF($A224="", "", IFERROR(($E224 * Premissas!$B$4 * ($I224/$B224) + $E223 * Premissas!$B$5 * ($I223/$B223)) * Premissas!$B$7, 0))</f>
        <v/>
      </c>
      <c r="AI224" s="47" t="str">
        <f>IF($A224="", "", IFERROR(($I224 * Premissas!$B$5) + ($E224 * ($I224/$B224) * Premissas!$B$4 * 12), 0))</f>
        <v/>
      </c>
      <c r="AJ224" s="47" t="str">
        <f>IF($A224="", "", $AI224 * Premissas!$B$12)</f>
        <v/>
      </c>
      <c r="AK224" s="47" t="str">
        <f t="shared" si="13"/>
        <v/>
      </c>
      <c r="AL224" s="47"/>
      <c r="AM224" s="47"/>
    </row>
    <row r="225" ht="15.75" customHeight="1">
      <c r="K225" s="47" t="str">
        <f>IF($A225="", "", IFERROR($E225 * ($I225/$B225) * Premissas!$B$6, 0))</f>
        <v/>
      </c>
      <c r="L225" s="47" t="str">
        <f>IF($A225="", "", IFERROR(($E225 * Premissas!$B$4 * ($I225/$B225) + $E224 * Premissas!$B$5 * ($I224/$B224)) * Premissas!$B$7, 0))</f>
        <v/>
      </c>
      <c r="AI225" s="47" t="str">
        <f>IF($A225="", "", IFERROR(($I225 * Premissas!$B$5) + ($E225 * ($I225/$B225) * Premissas!$B$4 * 12), 0))</f>
        <v/>
      </c>
      <c r="AJ225" s="47" t="str">
        <f>IF($A225="", "", $AI225 * Premissas!$B$12)</f>
        <v/>
      </c>
      <c r="AK225" s="47" t="str">
        <f t="shared" si="13"/>
        <v/>
      </c>
      <c r="AL225" s="47"/>
      <c r="AM225" s="47"/>
    </row>
    <row r="226" ht="15.75" customHeight="1">
      <c r="K226" s="47" t="str">
        <f>IF($A226="", "", IFERROR($E226 * ($I226/$B226) * Premissas!$B$6, 0))</f>
        <v/>
      </c>
      <c r="L226" s="47" t="str">
        <f>IF($A226="", "", IFERROR(($E226 * Premissas!$B$4 * ($I226/$B226) + $E225 * Premissas!$B$5 * ($I225/$B225)) * Premissas!$B$7, 0))</f>
        <v/>
      </c>
      <c r="AI226" s="47" t="str">
        <f>IF($A226="", "", IFERROR(($I226 * Premissas!$B$5) + ($E226 * ($I226/$B226) * Premissas!$B$4 * 12), 0))</f>
        <v/>
      </c>
      <c r="AJ226" s="47" t="str">
        <f>IF($A226="", "", $AI226 * Premissas!$B$12)</f>
        <v/>
      </c>
      <c r="AK226" s="47" t="str">
        <f t="shared" si="13"/>
        <v/>
      </c>
      <c r="AL226" s="47"/>
      <c r="AM226" s="47"/>
    </row>
    <row r="227" ht="15.75" customHeight="1">
      <c r="K227" s="47" t="str">
        <f>IF($A227="", "", IFERROR($E227 * ($I227/$B227) * Premissas!$B$6, 0))</f>
        <v/>
      </c>
      <c r="L227" s="47" t="str">
        <f>IF($A227="", "", IFERROR(($E227 * Premissas!$B$4 * ($I227/$B227) + $E226 * Premissas!$B$5 * ($I226/$B226)) * Premissas!$B$7, 0))</f>
        <v/>
      </c>
      <c r="AI227" s="47" t="str">
        <f>IF($A227="", "", IFERROR(($I227 * Premissas!$B$5) + ($E227 * ($I227/$B227) * Premissas!$B$4 * 12), 0))</f>
        <v/>
      </c>
      <c r="AJ227" s="47" t="str">
        <f>IF($A227="", "", $AI227 * Premissas!$B$12)</f>
        <v/>
      </c>
      <c r="AK227" s="47" t="str">
        <f t="shared" si="13"/>
        <v/>
      </c>
      <c r="AL227" s="47"/>
      <c r="AM227" s="47"/>
    </row>
    <row r="228" ht="15.75" customHeight="1">
      <c r="K228" s="47" t="str">
        <f>IF($A228="", "", IFERROR($E228 * ($I228/$B228) * Premissas!$B$6, 0))</f>
        <v/>
      </c>
      <c r="L228" s="47" t="str">
        <f>IF($A228="", "", IFERROR(($E228 * Premissas!$B$4 * ($I228/$B228) + $E227 * Premissas!$B$5 * ($I227/$B227)) * Premissas!$B$7, 0))</f>
        <v/>
      </c>
      <c r="AI228" s="47" t="str">
        <f>IF($A228="", "", IFERROR(($I228 * Premissas!$B$5) + ($E228 * ($I228/$B228) * Premissas!$B$4 * 12), 0))</f>
        <v/>
      </c>
      <c r="AJ228" s="47" t="str">
        <f>IF($A228="", "", $AI228 * Premissas!$B$12)</f>
        <v/>
      </c>
      <c r="AK228" s="47" t="str">
        <f t="shared" si="13"/>
        <v/>
      </c>
      <c r="AL228" s="47"/>
      <c r="AM228" s="47"/>
    </row>
    <row r="229" ht="15.75" customHeight="1">
      <c r="K229" s="47" t="str">
        <f>IF($A229="", "", IFERROR($E229 * ($I229/$B229) * Premissas!$B$6, 0))</f>
        <v/>
      </c>
      <c r="L229" s="47" t="str">
        <f>IF($A229="", "", IFERROR(($E229 * Premissas!$B$4 * ($I229/$B229) + $E228 * Premissas!$B$5 * ($I228/$B228)) * Premissas!$B$7, 0))</f>
        <v/>
      </c>
      <c r="AI229" s="47" t="str">
        <f>IF($A229="", "", IFERROR(($I229 * Premissas!$B$5) + ($E229 * ($I229/$B229) * Premissas!$B$4 * 12), 0))</f>
        <v/>
      </c>
      <c r="AJ229" s="47" t="str">
        <f>IF($A229="", "", $AI229 * Premissas!$B$12)</f>
        <v/>
      </c>
      <c r="AK229" s="47" t="str">
        <f t="shared" si="13"/>
        <v/>
      </c>
      <c r="AL229" s="47"/>
      <c r="AM229" s="47"/>
    </row>
    <row r="230" ht="15.75" customHeight="1">
      <c r="K230" s="47" t="str">
        <f>IF($A230="", "", IFERROR($E230 * ($I230/$B230) * Premissas!$B$6, 0))</f>
        <v/>
      </c>
      <c r="L230" s="47" t="str">
        <f>IF($A230="", "", IFERROR(($E230 * Premissas!$B$4 * ($I230/$B230) + $E229 * Premissas!$B$5 * ($I229/$B229)) * Premissas!$B$7, 0))</f>
        <v/>
      </c>
      <c r="AI230" s="47" t="str">
        <f>IF($A230="", "", IFERROR(($I230 * Premissas!$B$5) + ($E230 * ($I230/$B230) * Premissas!$B$4 * 12), 0))</f>
        <v/>
      </c>
      <c r="AJ230" s="47" t="str">
        <f>IF($A230="", "", $AI230 * Premissas!$B$12)</f>
        <v/>
      </c>
      <c r="AK230" s="47" t="str">
        <f t="shared" si="13"/>
        <v/>
      </c>
      <c r="AL230" s="47"/>
      <c r="AM230" s="47"/>
    </row>
    <row r="231" ht="15.75" customHeight="1">
      <c r="K231" s="47" t="str">
        <f>IF($A231="", "", IFERROR($E231 * ($I231/$B231) * Premissas!$B$6, 0))</f>
        <v/>
      </c>
      <c r="L231" s="47" t="str">
        <f>IF($A231="", "", IFERROR(($E231 * Premissas!$B$4 * ($I231/$B231) + $E230 * Premissas!$B$5 * ($I230/$B230)) * Premissas!$B$7, 0))</f>
        <v/>
      </c>
      <c r="AI231" s="47" t="str">
        <f>IF($A231="", "", IFERROR(($I231 * Premissas!$B$5) + ($E231 * ($I231/$B231) * Premissas!$B$4 * 12), 0))</f>
        <v/>
      </c>
      <c r="AJ231" s="47" t="str">
        <f>IF($A231="", "", $AI231 * Premissas!$B$12)</f>
        <v/>
      </c>
      <c r="AK231" s="47" t="str">
        <f t="shared" si="13"/>
        <v/>
      </c>
      <c r="AL231" s="47"/>
      <c r="AM231" s="47"/>
    </row>
    <row r="232" ht="15.75" customHeight="1">
      <c r="K232" s="47" t="str">
        <f>IF($A232="", "", IFERROR($E232 * ($I232/$B232) * Premissas!$B$6, 0))</f>
        <v/>
      </c>
      <c r="L232" s="47" t="str">
        <f>IF($A232="", "", IFERROR(($E232 * Premissas!$B$4 * ($I232/$B232) + $E231 * Premissas!$B$5 * ($I231/$B231)) * Premissas!$B$7, 0))</f>
        <v/>
      </c>
      <c r="AI232" s="47" t="str">
        <f>IF($A232="", "", IFERROR(($I232 * Premissas!$B$5) + ($E232 * ($I232/$B232) * Premissas!$B$4 * 12), 0))</f>
        <v/>
      </c>
      <c r="AJ232" s="47" t="str">
        <f>IF($A232="", "", $AI232 * Premissas!$B$12)</f>
        <v/>
      </c>
      <c r="AK232" s="47" t="str">
        <f t="shared" si="13"/>
        <v/>
      </c>
      <c r="AL232" s="47"/>
      <c r="AM232" s="47"/>
    </row>
    <row r="233" ht="15.75" customHeight="1">
      <c r="K233" s="47" t="str">
        <f>IF($A233="", "", IFERROR($E233 * ($I233/$B233) * Premissas!$B$6, 0))</f>
        <v/>
      </c>
      <c r="L233" s="47" t="str">
        <f>IF($A233="", "", IFERROR(($E233 * Premissas!$B$4 * ($I233/$B233) + $E232 * Premissas!$B$5 * ($I232/$B232)) * Premissas!$B$7, 0))</f>
        <v/>
      </c>
      <c r="AI233" s="47" t="str">
        <f>IF($A233="", "", IFERROR(($I233 * Premissas!$B$5) + ($E233 * ($I233/$B233) * Premissas!$B$4 * 12), 0))</f>
        <v/>
      </c>
      <c r="AJ233" s="47" t="str">
        <f>IF($A233="", "", $AI233 * Premissas!$B$12)</f>
        <v/>
      </c>
      <c r="AK233" s="47" t="str">
        <f t="shared" si="13"/>
        <v/>
      </c>
      <c r="AL233" s="47"/>
      <c r="AM233" s="47"/>
    </row>
    <row r="234" ht="15.75" customHeight="1">
      <c r="K234" s="47" t="str">
        <f>IF($A234="", "", IFERROR($E234 * ($I234/$B234) * Premissas!$B$6, 0))</f>
        <v/>
      </c>
      <c r="L234" s="47" t="str">
        <f>IF($A234="", "", IFERROR(($E234 * Premissas!$B$4 * ($I234/$B234) + $E233 * Premissas!$B$5 * ($I233/$B233)) * Premissas!$B$7, 0))</f>
        <v/>
      </c>
      <c r="AI234" s="47" t="str">
        <f>IF($A234="", "", IFERROR(($I234 * Premissas!$B$5) + ($E234 * ($I234/$B234) * Premissas!$B$4 * 12), 0))</f>
        <v/>
      </c>
      <c r="AJ234" s="47" t="str">
        <f>IF($A234="", "", $AI234 * Premissas!$B$12)</f>
        <v/>
      </c>
      <c r="AK234" s="47" t="str">
        <f t="shared" si="13"/>
        <v/>
      </c>
      <c r="AL234" s="47"/>
      <c r="AM234" s="47"/>
    </row>
    <row r="235" ht="15.75" customHeight="1">
      <c r="K235" s="47" t="str">
        <f>IF($A235="", "", IFERROR($E235 * ($I235/$B235) * Premissas!$B$6, 0))</f>
        <v/>
      </c>
      <c r="L235" s="47" t="str">
        <f>IF($A235="", "", IFERROR(($E235 * Premissas!$B$4 * ($I235/$B235) + $E234 * Premissas!$B$5 * ($I234/$B234)) * Premissas!$B$7, 0))</f>
        <v/>
      </c>
      <c r="AI235" s="47" t="str">
        <f>IF($A235="", "", IFERROR(($I235 * Premissas!$B$5) + ($E235 * ($I235/$B235) * Premissas!$B$4 * 12), 0))</f>
        <v/>
      </c>
      <c r="AJ235" s="47" t="str">
        <f>IF($A235="", "", $AI235 * Premissas!$B$12)</f>
        <v/>
      </c>
      <c r="AK235" s="47" t="str">
        <f t="shared" si="13"/>
        <v/>
      </c>
      <c r="AL235" s="47"/>
      <c r="AM235" s="47"/>
    </row>
    <row r="236" ht="15.75" customHeight="1">
      <c r="K236" s="47" t="str">
        <f>IF($A236="", "", IFERROR($E236 * ($I236/$B236) * Premissas!$B$6, 0))</f>
        <v/>
      </c>
      <c r="L236" s="47" t="str">
        <f>IF($A236="", "", IFERROR(($E236 * Premissas!$B$4 * ($I236/$B236) + $E235 * Premissas!$B$5 * ($I235/$B235)) * Premissas!$B$7, 0))</f>
        <v/>
      </c>
      <c r="AI236" s="47" t="str">
        <f>IF($A236="", "", IFERROR(($I236 * Premissas!$B$5) + ($E236 * ($I236/$B236) * Premissas!$B$4 * 12), 0))</f>
        <v/>
      </c>
      <c r="AJ236" s="47" t="str">
        <f>IF($A236="", "", $AI236 * Premissas!$B$12)</f>
        <v/>
      </c>
      <c r="AK236" s="47" t="str">
        <f t="shared" si="13"/>
        <v/>
      </c>
      <c r="AL236" s="47"/>
      <c r="AM236" s="47"/>
    </row>
    <row r="237" ht="15.75" customHeight="1">
      <c r="K237" s="47" t="str">
        <f>IF($A237="", "", IFERROR($E237 * ($I237/$B237) * Premissas!$B$6, 0))</f>
        <v/>
      </c>
      <c r="L237" s="47" t="str">
        <f>IF($A237="", "", IFERROR(($E237 * Premissas!$B$4 * ($I237/$B237) + $E236 * Premissas!$B$5 * ($I236/$B236)) * Premissas!$B$7, 0))</f>
        <v/>
      </c>
      <c r="AI237" s="47" t="str">
        <f>IF($A237="", "", IFERROR(($I237 * Premissas!$B$5) + ($E237 * ($I237/$B237) * Premissas!$B$4 * 12), 0))</f>
        <v/>
      </c>
      <c r="AJ237" s="47" t="str">
        <f>IF($A237="", "", $AI237 * Premissas!$B$12)</f>
        <v/>
      </c>
      <c r="AK237" s="47" t="str">
        <f t="shared" si="13"/>
        <v/>
      </c>
      <c r="AL237" s="47"/>
      <c r="AM237" s="47"/>
    </row>
    <row r="238" ht="15.75" customHeight="1">
      <c r="K238" s="47" t="str">
        <f>IF($A238="", "", IFERROR($E238 * ($I238/$B238) * Premissas!$B$6, 0))</f>
        <v/>
      </c>
      <c r="L238" s="47" t="str">
        <f>IF($A238="", "", IFERROR(($E238 * Premissas!$B$4 * ($I238/$B238) + $E237 * Premissas!$B$5 * ($I237/$B237)) * Premissas!$B$7, 0))</f>
        <v/>
      </c>
      <c r="AI238" s="47" t="str">
        <f>IF($A238="", "", IFERROR(($I238 * Premissas!$B$5) + ($E238 * ($I238/$B238) * Premissas!$B$4 * 12), 0))</f>
        <v/>
      </c>
      <c r="AJ238" s="47" t="str">
        <f>IF($A238="", "", $AI238 * Premissas!$B$12)</f>
        <v/>
      </c>
      <c r="AK238" s="47" t="str">
        <f t="shared" si="13"/>
        <v/>
      </c>
      <c r="AL238" s="47"/>
      <c r="AM238" s="47"/>
    </row>
    <row r="239" ht="15.75" customHeight="1">
      <c r="K239" s="47" t="str">
        <f>IF($A239="", "", IFERROR($E239 * ($I239/$B239) * Premissas!$B$6, 0))</f>
        <v/>
      </c>
      <c r="L239" s="47" t="str">
        <f>IF($A239="", "", IFERROR(($E239 * Premissas!$B$4 * ($I239/$B239) + $E238 * Premissas!$B$5 * ($I238/$B238)) * Premissas!$B$7, 0))</f>
        <v/>
      </c>
      <c r="AI239" s="47" t="str">
        <f>IF($A239="", "", IFERROR(($I239 * Premissas!$B$5) + ($E239 * ($I239/$B239) * Premissas!$B$4 * 12), 0))</f>
        <v/>
      </c>
      <c r="AJ239" s="47" t="str">
        <f>IF($A239="", "", $AI239 * Premissas!$B$12)</f>
        <v/>
      </c>
      <c r="AK239" s="47" t="str">
        <f t="shared" si="13"/>
        <v/>
      </c>
      <c r="AL239" s="47"/>
      <c r="AM239" s="47"/>
    </row>
    <row r="240" ht="15.75" customHeight="1">
      <c r="K240" s="47" t="str">
        <f>IF($A240="", "", IFERROR($E240 * ($I240/$B240) * Premissas!$B$6, 0))</f>
        <v/>
      </c>
      <c r="L240" s="47" t="str">
        <f>IF($A240="", "", IFERROR(($E240 * Premissas!$B$4 * ($I240/$B240) + $E239 * Premissas!$B$5 * ($I239/$B239)) * Premissas!$B$7, 0))</f>
        <v/>
      </c>
      <c r="AI240" s="47" t="str">
        <f>IF($A240="", "", IFERROR(($I240 * Premissas!$B$5) + ($E240 * ($I240/$B240) * Premissas!$B$4 * 12), 0))</f>
        <v/>
      </c>
      <c r="AJ240" s="47" t="str">
        <f>IF($A240="", "", $AI240 * Premissas!$B$12)</f>
        <v/>
      </c>
      <c r="AK240" s="47" t="str">
        <f t="shared" si="13"/>
        <v/>
      </c>
      <c r="AL240" s="47"/>
      <c r="AM240" s="47"/>
    </row>
    <row r="241" ht="15.75" customHeight="1">
      <c r="K241" s="47" t="str">
        <f>IF($A241="", "", IFERROR($E241 * ($I241/$B241) * Premissas!$B$6, 0))</f>
        <v/>
      </c>
      <c r="L241" s="47" t="str">
        <f>IF($A241="", "", IFERROR(($E241 * Premissas!$B$4 * ($I241/$B241) + $E240 * Premissas!$B$5 * ($I240/$B240)) * Premissas!$B$7, 0))</f>
        <v/>
      </c>
      <c r="AI241" s="47" t="str">
        <f>IF($A241="", "", IFERROR(($I241 * Premissas!$B$5) + ($E241 * ($I241/$B241) * Premissas!$B$4 * 12), 0))</f>
        <v/>
      </c>
      <c r="AJ241" s="47" t="str">
        <f>IF($A241="", "", $AI241 * Premissas!$B$12)</f>
        <v/>
      </c>
      <c r="AK241" s="47" t="str">
        <f t="shared" si="13"/>
        <v/>
      </c>
      <c r="AL241" s="47"/>
      <c r="AM241" s="47"/>
    </row>
    <row r="242" ht="15.75" customHeight="1">
      <c r="K242" s="47" t="str">
        <f>IF($A242="", "", IFERROR($E242 * ($I242/$B242) * Premissas!$B$6, 0))</f>
        <v/>
      </c>
      <c r="L242" s="47" t="str">
        <f>IF($A242="", "", IFERROR(($E242 * Premissas!$B$4 * ($I242/$B242) + $E241 * Premissas!$B$5 * ($I241/$B241)) * Premissas!$B$7, 0))</f>
        <v/>
      </c>
      <c r="AI242" s="47" t="str">
        <f>IF($A242="", "", IFERROR(($I242 * Premissas!$B$5) + ($E242 * ($I242/$B242) * Premissas!$B$4 * 12), 0))</f>
        <v/>
      </c>
      <c r="AJ242" s="47" t="str">
        <f>IF($A242="", "", $AI242 * Premissas!$B$12)</f>
        <v/>
      </c>
      <c r="AK242" s="47" t="str">
        <f t="shared" si="13"/>
        <v/>
      </c>
      <c r="AL242" s="47"/>
      <c r="AM242" s="47"/>
    </row>
    <row r="243" ht="15.75" customHeight="1">
      <c r="K243" s="47" t="str">
        <f>IF($A243="", "", IFERROR($E243 * ($I243/$B243) * Premissas!$B$6, 0))</f>
        <v/>
      </c>
      <c r="L243" s="47" t="str">
        <f>IF($A243="", "", IFERROR(($E243 * Premissas!$B$4 * ($I243/$B243) + $E242 * Premissas!$B$5 * ($I242/$B242)) * Premissas!$B$7, 0))</f>
        <v/>
      </c>
      <c r="AI243" s="47" t="str">
        <f>IF($A243="", "", IFERROR(($I243 * Premissas!$B$5) + ($E243 * ($I243/$B243) * Premissas!$B$4 * 12), 0))</f>
        <v/>
      </c>
      <c r="AJ243" s="47" t="str">
        <f>IF($A243="", "", $AI243 * Premissas!$B$12)</f>
        <v/>
      </c>
      <c r="AK243" s="47" t="str">
        <f t="shared" si="13"/>
        <v/>
      </c>
      <c r="AL243" s="47"/>
      <c r="AM243" s="47"/>
    </row>
    <row r="244" ht="15.75" customHeight="1">
      <c r="K244" s="47" t="str">
        <f>IF($A244="", "", IFERROR($E244 * ($I244/$B244) * Premissas!$B$6, 0))</f>
        <v/>
      </c>
      <c r="L244" s="47" t="str">
        <f>IF($A244="", "", IFERROR(($E244 * Premissas!$B$4 * ($I244/$B244) + $E243 * Premissas!$B$5 * ($I243/$B243)) * Premissas!$B$7, 0))</f>
        <v/>
      </c>
      <c r="AI244" s="47" t="str">
        <f>IF($A244="", "", IFERROR(($I244 * Premissas!$B$5) + ($E244 * ($I244/$B244) * Premissas!$B$4 * 12), 0))</f>
        <v/>
      </c>
      <c r="AJ244" s="47" t="str">
        <f>IF($A244="", "", $AI244 * Premissas!$B$12)</f>
        <v/>
      </c>
      <c r="AK244" s="47" t="str">
        <f t="shared" si="13"/>
        <v/>
      </c>
      <c r="AL244" s="47"/>
      <c r="AM244" s="47"/>
    </row>
    <row r="245" ht="15.75" customHeight="1">
      <c r="K245" s="47" t="str">
        <f>IF($A245="", "", IFERROR($E245 * ($I245/$B245) * Premissas!$B$6, 0))</f>
        <v/>
      </c>
      <c r="L245" s="47" t="str">
        <f>IF($A245="", "", IFERROR(($E245 * Premissas!$B$4 * ($I245/$B245) + $E244 * Premissas!$B$5 * ($I244/$B244)) * Premissas!$B$7, 0))</f>
        <v/>
      </c>
      <c r="AI245" s="47" t="str">
        <f>IF($A245="", "", IFERROR(($I245 * Premissas!$B$5) + ($E245 * ($I245/$B245) * Premissas!$B$4 * 12), 0))</f>
        <v/>
      </c>
      <c r="AJ245" s="47" t="str">
        <f>IF($A245="", "", $AI245 * Premissas!$B$12)</f>
        <v/>
      </c>
      <c r="AK245" s="47" t="str">
        <f t="shared" si="13"/>
        <v/>
      </c>
      <c r="AL245" s="47"/>
      <c r="AM245" s="47"/>
    </row>
    <row r="246" ht="15.75" customHeight="1">
      <c r="K246" s="47" t="str">
        <f>IF($A246="", "", IFERROR($E246 * ($I246/$B246) * Premissas!$B$6, 0))</f>
        <v/>
      </c>
      <c r="L246" s="47" t="str">
        <f>IF($A246="", "", IFERROR(($E246 * Premissas!$B$4 * ($I246/$B246) + $E245 * Premissas!$B$5 * ($I245/$B245)) * Premissas!$B$7, 0))</f>
        <v/>
      </c>
      <c r="AI246" s="47" t="str">
        <f>IF($A246="", "", IFERROR(($I246 * Premissas!$B$5) + ($E246 * ($I246/$B246) * Premissas!$B$4 * 12), 0))</f>
        <v/>
      </c>
      <c r="AJ246" s="47" t="str">
        <f>IF($A246="", "", $AI246 * Premissas!$B$12)</f>
        <v/>
      </c>
      <c r="AK246" s="47" t="str">
        <f t="shared" si="13"/>
        <v/>
      </c>
      <c r="AL246" s="47"/>
      <c r="AM246" s="47"/>
    </row>
    <row r="247" ht="15.75" customHeight="1">
      <c r="K247" s="47" t="str">
        <f>IF($A247="", "", IFERROR($E247 * ($I247/$B247) * Premissas!$B$6, 0))</f>
        <v/>
      </c>
      <c r="L247" s="47" t="str">
        <f>IF($A247="", "", IFERROR(($E247 * Premissas!$B$4 * ($I247/$B247) + $E246 * Premissas!$B$5 * ($I246/$B246)) * Premissas!$B$7, 0))</f>
        <v/>
      </c>
      <c r="AI247" s="47" t="str">
        <f>IF($A247="", "", IFERROR(($I247 * Premissas!$B$5) + ($E247 * ($I247/$B247) * Premissas!$B$4 * 12), 0))</f>
        <v/>
      </c>
      <c r="AJ247" s="47" t="str">
        <f>IF($A247="", "", $AI247 * Premissas!$B$12)</f>
        <v/>
      </c>
      <c r="AK247" s="47" t="str">
        <f t="shared" si="13"/>
        <v/>
      </c>
      <c r="AL247" s="47"/>
      <c r="AM247" s="47"/>
    </row>
    <row r="248" ht="15.75" customHeight="1">
      <c r="K248" s="47" t="str">
        <f>IF($A248="", "", IFERROR($E248 * ($I248/$B248) * Premissas!$B$6, 0))</f>
        <v/>
      </c>
      <c r="L248" s="47" t="str">
        <f>IF($A248="", "", IFERROR(($E248 * Premissas!$B$4 * ($I248/$B248) + $E247 * Premissas!$B$5 * ($I247/$B247)) * Premissas!$B$7, 0))</f>
        <v/>
      </c>
      <c r="AI248" s="47" t="str">
        <f>IF($A248="", "", IFERROR(($I248 * Premissas!$B$5) + ($E248 * ($I248/$B248) * Premissas!$B$4 * 12), 0))</f>
        <v/>
      </c>
      <c r="AJ248" s="47" t="str">
        <f>IF($A248="", "", $AI248 * Premissas!$B$12)</f>
        <v/>
      </c>
      <c r="AK248" s="47" t="str">
        <f t="shared" si="13"/>
        <v/>
      </c>
      <c r="AL248" s="47"/>
      <c r="AM248" s="47"/>
    </row>
    <row r="249" ht="15.75" customHeight="1">
      <c r="K249" s="47" t="str">
        <f>IF($A249="", "", IFERROR($E249 * ($I249/$B249) * Premissas!$B$6, 0))</f>
        <v/>
      </c>
      <c r="L249" s="47" t="str">
        <f>IF($A249="", "", IFERROR(($E249 * Premissas!$B$4 * ($I249/$B249) + $E248 * Premissas!$B$5 * ($I248/$B248)) * Premissas!$B$7, 0))</f>
        <v/>
      </c>
      <c r="AI249" s="47" t="str">
        <f>IF($A249="", "", IFERROR(($I249 * Premissas!$B$5) + ($E249 * ($I249/$B249) * Premissas!$B$4 * 12), 0))</f>
        <v/>
      </c>
      <c r="AJ249" s="47" t="str">
        <f>IF($A249="", "", $AI249 * Premissas!$B$12)</f>
        <v/>
      </c>
      <c r="AK249" s="47" t="str">
        <f t="shared" si="13"/>
        <v/>
      </c>
      <c r="AL249" s="47"/>
      <c r="AM249" s="47"/>
    </row>
    <row r="250" ht="15.75" customHeight="1">
      <c r="K250" s="47" t="str">
        <f>IF($A250="", "", IFERROR($E250 * ($I250/$B250) * Premissas!$B$6, 0))</f>
        <v/>
      </c>
      <c r="L250" s="47" t="str">
        <f>IF($A250="", "", IFERROR(($E250 * Premissas!$B$4 * ($I250/$B250) + $E249 * Premissas!$B$5 * ($I249/$B249)) * Premissas!$B$7, 0))</f>
        <v/>
      </c>
      <c r="AI250" s="47" t="str">
        <f>IF($A250="", "", IFERROR(($I250 * Premissas!$B$5) + ($E250 * ($I250/$B250) * Premissas!$B$4 * 12), 0))</f>
        <v/>
      </c>
      <c r="AJ250" s="47" t="str">
        <f>IF($A250="", "", $AI250 * Premissas!$B$12)</f>
        <v/>
      </c>
      <c r="AK250" s="47" t="str">
        <f t="shared" si="13"/>
        <v/>
      </c>
      <c r="AL250" s="47"/>
      <c r="AM250" s="47"/>
    </row>
    <row r="251" ht="15.75" customHeight="1">
      <c r="K251" s="47" t="str">
        <f>IF($A251="", "", IFERROR($E251 * ($I251/$B251) * Premissas!$B$6, 0))</f>
        <v/>
      </c>
      <c r="L251" s="47" t="str">
        <f>IF($A251="", "", IFERROR(($E251 * Premissas!$B$4 * ($I251/$B251) + $E250 * Premissas!$B$5 * ($I250/$B250)) * Premissas!$B$7, 0))</f>
        <v/>
      </c>
      <c r="AI251" s="47" t="str">
        <f>IF($A251="", "", IFERROR(($I251 * Premissas!$B$5) + ($E251 * ($I251/$B251) * Premissas!$B$4 * 12), 0))</f>
        <v/>
      </c>
      <c r="AJ251" s="47" t="str">
        <f>IF($A251="", "", $AI251 * Premissas!$B$12)</f>
        <v/>
      </c>
      <c r="AK251" s="47" t="str">
        <f t="shared" si="13"/>
        <v/>
      </c>
      <c r="AL251" s="47"/>
      <c r="AM251" s="47"/>
    </row>
    <row r="252" ht="15.75" customHeight="1">
      <c r="K252" s="47" t="str">
        <f>IF($A252="", "", IFERROR($E252 * ($I252/$B252) * Premissas!$B$6, 0))</f>
        <v/>
      </c>
      <c r="L252" s="47" t="str">
        <f>IF($A252="", "", IFERROR(($E252 * Premissas!$B$4 * ($I252/$B252) + $E251 * Premissas!$B$5 * ($I251/$B251)) * Premissas!$B$7, 0))</f>
        <v/>
      </c>
      <c r="AI252" s="47" t="str">
        <f>IF($A252="", "", IFERROR(($I252 * Premissas!$B$5) + ($E252 * ($I252/$B252) * Premissas!$B$4 * 12), 0))</f>
        <v/>
      </c>
      <c r="AJ252" s="47" t="str">
        <f>IF($A252="", "", $AI252 * Premissas!$B$12)</f>
        <v/>
      </c>
      <c r="AK252" s="47" t="str">
        <f t="shared" si="13"/>
        <v/>
      </c>
      <c r="AL252" s="47"/>
      <c r="AM252" s="47"/>
    </row>
    <row r="253" ht="15.75" customHeight="1">
      <c r="K253" s="47" t="str">
        <f>IF($A253="", "", IFERROR($E253 * ($I253/$B253) * Premissas!$B$6, 0))</f>
        <v/>
      </c>
      <c r="L253" s="47" t="str">
        <f>IF($A253="", "", IFERROR(($E253 * Premissas!$B$4 * ($I253/$B253) + $E252 * Premissas!$B$5 * ($I252/$B252)) * Premissas!$B$7, 0))</f>
        <v/>
      </c>
      <c r="AI253" s="47" t="str">
        <f>IF($A253="", "", IFERROR(($I253 * Premissas!$B$5) + ($E253 * ($I253/$B253) * Premissas!$B$4 * 12), 0))</f>
        <v/>
      </c>
      <c r="AJ253" s="47" t="str">
        <f>IF($A253="", "", $AI253 * Premissas!$B$12)</f>
        <v/>
      </c>
      <c r="AK253" s="47" t="str">
        <f t="shared" si="13"/>
        <v/>
      </c>
      <c r="AL253" s="47"/>
      <c r="AM253" s="47"/>
    </row>
    <row r="254" ht="15.75" customHeight="1">
      <c r="K254" s="47" t="str">
        <f>IF($A254="", "", IFERROR($E254 * ($I254/$B254) * Premissas!$B$6, 0))</f>
        <v/>
      </c>
      <c r="L254" s="47" t="str">
        <f>IF($A254="", "", IFERROR(($E254 * Premissas!$B$4 * ($I254/$B254) + $E253 * Premissas!$B$5 * ($I253/$B253)) * Premissas!$B$7, 0))</f>
        <v/>
      </c>
      <c r="AI254" s="47" t="str">
        <f>IF($A254="", "", IFERROR(($I254 * Premissas!$B$5) + ($E254 * ($I254/$B254) * Premissas!$B$4 * 12), 0))</f>
        <v/>
      </c>
      <c r="AJ254" s="47" t="str">
        <f>IF($A254="", "", $AI254 * Premissas!$B$12)</f>
        <v/>
      </c>
      <c r="AK254" s="47" t="str">
        <f t="shared" si="13"/>
        <v/>
      </c>
      <c r="AL254" s="47"/>
      <c r="AM254" s="47"/>
    </row>
    <row r="255" ht="15.75" customHeight="1">
      <c r="K255" s="47" t="str">
        <f>IF($A255="", "", IFERROR($E255 * ($I255/$B255) * Premissas!$B$6, 0))</f>
        <v/>
      </c>
      <c r="L255" s="47" t="str">
        <f>IF($A255="", "", IFERROR(($E255 * Premissas!$B$4 * ($I255/$B255) + $E254 * Premissas!$B$5 * ($I254/$B254)) * Premissas!$B$7, 0))</f>
        <v/>
      </c>
      <c r="AI255" s="47" t="str">
        <f>IF($A255="", "", IFERROR(($I255 * Premissas!$B$5) + ($E255 * ($I255/$B255) * Premissas!$B$4 * 12), 0))</f>
        <v/>
      </c>
      <c r="AJ255" s="47" t="str">
        <f>IF($A255="", "", $AI255 * Premissas!$B$12)</f>
        <v/>
      </c>
      <c r="AK255" s="47" t="str">
        <f t="shared" si="13"/>
        <v/>
      </c>
      <c r="AL255" s="47"/>
      <c r="AM255" s="47"/>
    </row>
    <row r="256" ht="15.75" customHeight="1">
      <c r="K256" s="47" t="str">
        <f>IF($A256="", "", IFERROR($E256 * ($I256/$B256) * Premissas!$B$6, 0))</f>
        <v/>
      </c>
      <c r="L256" s="47" t="str">
        <f>IF($A256="", "", IFERROR(($E256 * Premissas!$B$4 * ($I256/$B256) + $E255 * Premissas!$B$5 * ($I255/$B255)) * Premissas!$B$7, 0))</f>
        <v/>
      </c>
      <c r="AI256" s="47" t="str">
        <f>IF($A256="", "", IFERROR(($I256 * Premissas!$B$5) + ($E256 * ($I256/$B256) * Premissas!$B$4 * 12), 0))</f>
        <v/>
      </c>
      <c r="AJ256" s="47" t="str">
        <f>IF($A256="", "", $AI256 * Premissas!$B$12)</f>
        <v/>
      </c>
      <c r="AK256" s="47" t="str">
        <f t="shared" si="13"/>
        <v/>
      </c>
      <c r="AL256" s="47"/>
      <c r="AM256" s="47"/>
    </row>
    <row r="257" ht="15.75" customHeight="1">
      <c r="K257" s="47" t="str">
        <f>IF($A257="", "", IFERROR($E257 * ($I257/$B257) * Premissas!$B$6, 0))</f>
        <v/>
      </c>
      <c r="L257" s="47" t="str">
        <f>IF($A257="", "", IFERROR(($E257 * Premissas!$B$4 * ($I257/$B257) + $E256 * Premissas!$B$5 * ($I256/$B256)) * Premissas!$B$7, 0))</f>
        <v/>
      </c>
      <c r="AI257" s="47" t="str">
        <f>IF($A257="", "", IFERROR(($I257 * Premissas!$B$5) + ($E257 * ($I257/$B257) * Premissas!$B$4 * 12), 0))</f>
        <v/>
      </c>
      <c r="AJ257" s="47" t="str">
        <f>IF($A257="", "", $AI257 * Premissas!$B$12)</f>
        <v/>
      </c>
      <c r="AK257" s="47" t="str">
        <f t="shared" si="13"/>
        <v/>
      </c>
      <c r="AL257" s="47"/>
      <c r="AM257" s="47"/>
    </row>
    <row r="258" ht="15.75" customHeight="1">
      <c r="K258" s="47" t="str">
        <f>IF($A258="", "", IFERROR($E258 * ($I258/$B258) * Premissas!$B$6, 0))</f>
        <v/>
      </c>
      <c r="L258" s="47" t="str">
        <f>IF($A258="", "", IFERROR(($E258 * Premissas!$B$4 * ($I258/$B258) + $E257 * Premissas!$B$5 * ($I257/$B257)) * Premissas!$B$7, 0))</f>
        <v/>
      </c>
      <c r="AI258" s="47" t="str">
        <f>IF($A258="", "", IFERROR(($I258 * Premissas!$B$5) + ($E258 * ($I258/$B258) * Premissas!$B$4 * 12), 0))</f>
        <v/>
      </c>
      <c r="AJ258" s="47" t="str">
        <f>IF($A258="", "", $AI258 * Premissas!$B$12)</f>
        <v/>
      </c>
      <c r="AK258" s="47" t="str">
        <f t="shared" si="13"/>
        <v/>
      </c>
      <c r="AL258" s="47"/>
      <c r="AM258" s="47"/>
    </row>
    <row r="259" ht="15.75" customHeight="1">
      <c r="K259" s="47" t="str">
        <f>IF($A259="", "", IFERROR($E259 * ($I259/$B259) * Premissas!$B$6, 0))</f>
        <v/>
      </c>
      <c r="L259" s="47" t="str">
        <f>IF($A259="", "", IFERROR(($E259 * Premissas!$B$4 * ($I259/$B259) + $E258 * Premissas!$B$5 * ($I258/$B258)) * Premissas!$B$7, 0))</f>
        <v/>
      </c>
      <c r="AI259" s="47" t="str">
        <f>IF($A259="", "", IFERROR(($I259 * Premissas!$B$5) + ($E259 * ($I259/$B259) * Premissas!$B$4 * 12), 0))</f>
        <v/>
      </c>
      <c r="AJ259" s="47" t="str">
        <f>IF($A259="", "", $AI259 * Premissas!$B$12)</f>
        <v/>
      </c>
      <c r="AK259" s="47" t="str">
        <f t="shared" si="13"/>
        <v/>
      </c>
      <c r="AL259" s="47"/>
      <c r="AM259" s="47"/>
    </row>
    <row r="260" ht="15.75" customHeight="1">
      <c r="K260" s="47" t="str">
        <f>IF($A260="", "", IFERROR($E260 * ($I260/$B260) * Premissas!$B$6, 0))</f>
        <v/>
      </c>
      <c r="L260" s="47" t="str">
        <f>IF($A260="", "", IFERROR(($E260 * Premissas!$B$4 * ($I260/$B260) + $E259 * Premissas!$B$5 * ($I259/$B259)) * Premissas!$B$7, 0))</f>
        <v/>
      </c>
      <c r="AI260" s="47" t="str">
        <f>IF($A260="", "", IFERROR(($I260 * Premissas!$B$5) + ($E260 * ($I260/$B260) * Premissas!$B$4 * 12), 0))</f>
        <v/>
      </c>
      <c r="AJ260" s="47" t="str">
        <f>IF($A260="", "", $AI260 * Premissas!$B$12)</f>
        <v/>
      </c>
      <c r="AK260" s="47" t="str">
        <f t="shared" si="13"/>
        <v/>
      </c>
      <c r="AL260" s="47"/>
      <c r="AM260" s="47"/>
    </row>
    <row r="261" ht="15.75" customHeight="1">
      <c r="K261" s="47" t="str">
        <f>IF($A261="", "", IFERROR($E261 * ($I261/$B261) * Premissas!$B$6, 0))</f>
        <v/>
      </c>
      <c r="L261" s="47" t="str">
        <f>IF($A261="", "", IFERROR(($E261 * Premissas!$B$4 * ($I261/$B261) + $E260 * Premissas!$B$5 * ($I260/$B260)) * Premissas!$B$7, 0))</f>
        <v/>
      </c>
      <c r="AI261" s="47" t="str">
        <f>IF($A261="", "", IFERROR(($I261 * Premissas!$B$5) + ($E261 * ($I261/$B261) * Premissas!$B$4 * 12), 0))</f>
        <v/>
      </c>
      <c r="AJ261" s="47" t="str">
        <f>IF($A261="", "", $AI261 * Premissas!$B$12)</f>
        <v/>
      </c>
      <c r="AK261" s="47" t="str">
        <f t="shared" si="13"/>
        <v/>
      </c>
      <c r="AL261" s="47"/>
      <c r="AM261" s="47"/>
    </row>
    <row r="262" ht="15.75" customHeight="1">
      <c r="K262" s="47" t="str">
        <f>IF($A262="", "", IFERROR($E262 * ($I262/$B262) * Premissas!$B$6, 0))</f>
        <v/>
      </c>
      <c r="L262" s="47" t="str">
        <f>IF($A262="", "", IFERROR(($E262 * Premissas!$B$4 * ($I262/$B262) + $E261 * Premissas!$B$5 * ($I261/$B261)) * Premissas!$B$7, 0))</f>
        <v/>
      </c>
      <c r="AI262" s="47" t="str">
        <f>IF($A262="", "", IFERROR(($I262 * Premissas!$B$5) + ($E262 * ($I262/$B262) * Premissas!$B$4 * 12), 0))</f>
        <v/>
      </c>
      <c r="AJ262" s="47" t="str">
        <f>IF($A262="", "", $AI262 * Premissas!$B$12)</f>
        <v/>
      </c>
      <c r="AK262" s="47" t="str">
        <f t="shared" si="13"/>
        <v/>
      </c>
      <c r="AL262" s="47"/>
      <c r="AM262" s="47"/>
    </row>
    <row r="263" ht="15.75" customHeight="1">
      <c r="K263" s="47" t="str">
        <f>IF($A263="", "", IFERROR($E263 * ($I263/$B263) * Premissas!$B$6, 0))</f>
        <v/>
      </c>
      <c r="L263" s="47" t="str">
        <f>IF($A263="", "", IFERROR(($E263 * Premissas!$B$4 * ($I263/$B263) + $E262 * Premissas!$B$5 * ($I262/$B262)) * Premissas!$B$7, 0))</f>
        <v/>
      </c>
      <c r="AI263" s="47" t="str">
        <f>IF($A263="", "", IFERROR(($I263 * Premissas!$B$5) + ($E263 * ($I263/$B263) * Premissas!$B$4 * 12), 0))</f>
        <v/>
      </c>
      <c r="AJ263" s="47" t="str">
        <f>IF($A263="", "", $AI263 * Premissas!$B$12)</f>
        <v/>
      </c>
      <c r="AK263" s="47" t="str">
        <f t="shared" si="13"/>
        <v/>
      </c>
      <c r="AL263" s="47"/>
      <c r="AM263" s="47"/>
    </row>
    <row r="264" ht="15.75" customHeight="1">
      <c r="K264" s="47" t="str">
        <f>IF($A264="", "", IFERROR($E264 * ($I264/$B264) * Premissas!$B$6, 0))</f>
        <v/>
      </c>
      <c r="L264" s="47" t="str">
        <f>IF($A264="", "", IFERROR(($E264 * Premissas!$B$4 * ($I264/$B264) + $E263 * Premissas!$B$5 * ($I263/$B263)) * Premissas!$B$7, 0))</f>
        <v/>
      </c>
      <c r="AI264" s="47" t="str">
        <f>IF($A264="", "", IFERROR(($I264 * Premissas!$B$5) + ($E264 * ($I264/$B264) * Premissas!$B$4 * 12), 0))</f>
        <v/>
      </c>
      <c r="AJ264" s="47" t="str">
        <f>IF($A264="", "", $AI264 * Premissas!$B$12)</f>
        <v/>
      </c>
      <c r="AK264" s="47" t="str">
        <f t="shared" si="13"/>
        <v/>
      </c>
      <c r="AL264" s="47"/>
      <c r="AM264" s="47"/>
    </row>
    <row r="265" ht="15.75" customHeight="1">
      <c r="K265" s="47" t="str">
        <f>IF($A265="", "", IFERROR($E265 * ($I265/$B265) * Premissas!$B$6, 0))</f>
        <v/>
      </c>
      <c r="L265" s="47" t="str">
        <f>IF($A265="", "", IFERROR(($E265 * Premissas!$B$4 * ($I265/$B265) + $E264 * Premissas!$B$5 * ($I264/$B264)) * Premissas!$B$7, 0))</f>
        <v/>
      </c>
      <c r="AI265" s="47" t="str">
        <f>IF($A265="", "", IFERROR(($I265 * Premissas!$B$5) + ($E265 * ($I265/$B265) * Premissas!$B$4 * 12), 0))</f>
        <v/>
      </c>
      <c r="AJ265" s="47" t="str">
        <f>IF($A265="", "", $AI265 * Premissas!$B$12)</f>
        <v/>
      </c>
      <c r="AK265" s="47" t="str">
        <f t="shared" si="13"/>
        <v/>
      </c>
      <c r="AL265" s="47"/>
      <c r="AM265" s="47"/>
    </row>
    <row r="266" ht="15.75" customHeight="1">
      <c r="K266" s="47" t="str">
        <f>IF($A266="", "", IFERROR($E266 * ($I266/$B266) * Premissas!$B$6, 0))</f>
        <v/>
      </c>
      <c r="L266" s="47" t="str">
        <f>IF($A266="", "", IFERROR(($E266 * Premissas!$B$4 * ($I266/$B266) + $E265 * Premissas!$B$5 * ($I265/$B265)) * Premissas!$B$7, 0))</f>
        <v/>
      </c>
      <c r="AI266" s="47" t="str">
        <f>IF($A266="", "", IFERROR(($I266 * Premissas!$B$5) + ($E266 * ($I266/$B266) * Premissas!$B$4 * 12), 0))</f>
        <v/>
      </c>
      <c r="AJ266" s="47" t="str">
        <f>IF($A266="", "", $AI266 * Premissas!$B$12)</f>
        <v/>
      </c>
      <c r="AK266" s="47" t="str">
        <f t="shared" si="13"/>
        <v/>
      </c>
      <c r="AL266" s="47"/>
      <c r="AM266" s="47"/>
    </row>
    <row r="267" ht="15.75" customHeight="1">
      <c r="K267" s="47" t="str">
        <f>IF($A267="", "", IFERROR($E267 * ($I267/$B267) * Premissas!$B$6, 0))</f>
        <v/>
      </c>
      <c r="L267" s="47" t="str">
        <f>IF($A267="", "", IFERROR(($E267 * Premissas!$B$4 * ($I267/$B267) + $E266 * Premissas!$B$5 * ($I266/$B266)) * Premissas!$B$7, 0))</f>
        <v/>
      </c>
      <c r="AI267" s="47" t="str">
        <f>IF($A267="", "", IFERROR(($I267 * Premissas!$B$5) + ($E267 * ($I267/$B267) * Premissas!$B$4 * 12), 0))</f>
        <v/>
      </c>
      <c r="AJ267" s="47" t="str">
        <f>IF($A267="", "", $AI267 * Premissas!$B$12)</f>
        <v/>
      </c>
      <c r="AK267" s="47" t="str">
        <f t="shared" si="13"/>
        <v/>
      </c>
      <c r="AL267" s="47"/>
      <c r="AM267" s="47"/>
    </row>
    <row r="268" ht="15.75" customHeight="1">
      <c r="K268" s="47" t="str">
        <f>IF($A268="", "", IFERROR($E268 * ($I268/$B268) * Premissas!$B$6, 0))</f>
        <v/>
      </c>
      <c r="L268" s="47" t="str">
        <f>IF($A268="", "", IFERROR(($E268 * Premissas!$B$4 * ($I268/$B268) + $E267 * Premissas!$B$5 * ($I267/$B267)) * Premissas!$B$7, 0))</f>
        <v/>
      </c>
      <c r="AI268" s="47" t="str">
        <f>IF($A268="", "", IFERROR(($I268 * Premissas!$B$5) + ($E268 * ($I268/$B268) * Premissas!$B$4 * 12), 0))</f>
        <v/>
      </c>
      <c r="AJ268" s="47" t="str">
        <f>IF($A268="", "", $AI268 * Premissas!$B$12)</f>
        <v/>
      </c>
      <c r="AK268" s="47" t="str">
        <f t="shared" si="13"/>
        <v/>
      </c>
      <c r="AL268" s="47"/>
      <c r="AM268" s="47"/>
    </row>
    <row r="269" ht="15.75" customHeight="1">
      <c r="K269" s="47" t="str">
        <f>IF($A269="", "", IFERROR($E269 * ($I269/$B269) * Premissas!$B$6, 0))</f>
        <v/>
      </c>
      <c r="L269" s="47" t="str">
        <f>IF($A269="", "", IFERROR(($E269 * Premissas!$B$4 * ($I269/$B269) + $E268 * Premissas!$B$5 * ($I268/$B268)) * Premissas!$B$7, 0))</f>
        <v/>
      </c>
      <c r="AI269" s="47" t="str">
        <f>IF($A269="", "", IFERROR(($I269 * Premissas!$B$5) + ($E269 * ($I269/$B269) * Premissas!$B$4 * 12), 0))</f>
        <v/>
      </c>
      <c r="AJ269" s="47" t="str">
        <f>IF($A269="", "", $AI269 * Premissas!$B$12)</f>
        <v/>
      </c>
      <c r="AK269" s="47" t="str">
        <f t="shared" si="13"/>
        <v/>
      </c>
      <c r="AL269" s="47"/>
      <c r="AM269" s="47"/>
    </row>
    <row r="270" ht="15.75" customHeight="1">
      <c r="K270" s="47" t="str">
        <f>IF($A270="", "", IFERROR($E270 * ($I270/$B270) * Premissas!$B$6, 0))</f>
        <v/>
      </c>
      <c r="L270" s="47" t="str">
        <f>IF($A270="", "", IFERROR(($E270 * Premissas!$B$4 * ($I270/$B270) + $E269 * Premissas!$B$5 * ($I269/$B269)) * Premissas!$B$7, 0))</f>
        <v/>
      </c>
      <c r="AI270" s="47" t="str">
        <f>IF($A270="", "", IFERROR(($I270 * Premissas!$B$5) + ($E270 * ($I270/$B270) * Premissas!$B$4 * 12), 0))</f>
        <v/>
      </c>
      <c r="AJ270" s="47" t="str">
        <f>IF($A270="", "", $AI270 * Premissas!$B$12)</f>
        <v/>
      </c>
      <c r="AK270" s="47" t="str">
        <f t="shared" si="13"/>
        <v/>
      </c>
      <c r="AL270" s="47"/>
      <c r="AM270" s="47"/>
    </row>
    <row r="271" ht="15.75" customHeight="1">
      <c r="K271" s="47" t="str">
        <f>IF($A271="", "", IFERROR($E271 * ($I271/$B271) * Premissas!$B$6, 0))</f>
        <v/>
      </c>
      <c r="L271" s="47" t="str">
        <f>IF($A271="", "", IFERROR(($E271 * Premissas!$B$4 * ($I271/$B271) + $E270 * Premissas!$B$5 * ($I270/$B270)) * Premissas!$B$7, 0))</f>
        <v/>
      </c>
      <c r="AI271" s="47" t="str">
        <f>IF($A271="", "", IFERROR(($I271 * Premissas!$B$5) + ($E271 * ($I271/$B271) * Premissas!$B$4 * 12), 0))</f>
        <v/>
      </c>
      <c r="AJ271" s="47" t="str">
        <f>IF($A271="", "", $AI271 * Premissas!$B$12)</f>
        <v/>
      </c>
      <c r="AK271" s="47" t="str">
        <f t="shared" si="13"/>
        <v/>
      </c>
      <c r="AL271" s="47"/>
      <c r="AM271" s="47"/>
    </row>
    <row r="272" ht="15.75" customHeight="1">
      <c r="K272" s="47" t="str">
        <f>IF($A272="", "", IFERROR($E272 * ($I272/$B272) * Premissas!$B$6, 0))</f>
        <v/>
      </c>
      <c r="L272" s="47" t="str">
        <f>IF($A272="", "", IFERROR(($E272 * Premissas!$B$4 * ($I272/$B272) + $E271 * Premissas!$B$5 * ($I271/$B271)) * Premissas!$B$7, 0))</f>
        <v/>
      </c>
      <c r="AI272" s="47" t="str">
        <f>IF($A272="", "", IFERROR(($I272 * Premissas!$B$5) + ($E272 * ($I272/$B272) * Premissas!$B$4 * 12), 0))</f>
        <v/>
      </c>
      <c r="AJ272" s="47" t="str">
        <f>IF($A272="", "", $AI272 * Premissas!$B$12)</f>
        <v/>
      </c>
      <c r="AK272" s="47" t="str">
        <f t="shared" si="13"/>
        <v/>
      </c>
      <c r="AL272" s="47"/>
      <c r="AM272" s="47"/>
    </row>
    <row r="273" ht="15.75" customHeight="1">
      <c r="K273" s="47" t="str">
        <f>IF($A273="", "", IFERROR($E273 * ($I273/$B273) * Premissas!$B$6, 0))</f>
        <v/>
      </c>
      <c r="L273" s="47" t="str">
        <f>IF($A273="", "", IFERROR(($E273 * Premissas!$B$4 * ($I273/$B273) + $E272 * Premissas!$B$5 * ($I272/$B272)) * Premissas!$B$7, 0))</f>
        <v/>
      </c>
      <c r="AI273" s="47" t="str">
        <f>IF($A273="", "", IFERROR(($I273 * Premissas!$B$5) + ($E273 * ($I273/$B273) * Premissas!$B$4 * 12), 0))</f>
        <v/>
      </c>
      <c r="AJ273" s="47" t="str">
        <f>IF($A273="", "", $AI273 * Premissas!$B$12)</f>
        <v/>
      </c>
      <c r="AK273" s="47" t="str">
        <f t="shared" si="13"/>
        <v/>
      </c>
      <c r="AL273" s="47"/>
      <c r="AM273" s="47"/>
    </row>
    <row r="274" ht="15.75" customHeight="1">
      <c r="K274" s="47" t="str">
        <f>IF($A274="", "", IFERROR($E274 * ($I274/$B274) * Premissas!$B$6, 0))</f>
        <v/>
      </c>
      <c r="L274" s="47" t="str">
        <f>IF($A274="", "", IFERROR(($E274 * Premissas!$B$4 * ($I274/$B274) + $E273 * Premissas!$B$5 * ($I273/$B273)) * Premissas!$B$7, 0))</f>
        <v/>
      </c>
      <c r="AI274" s="47" t="str">
        <f>IF($A274="", "", IFERROR(($I274 * Premissas!$B$5) + ($E274 * ($I274/$B274) * Premissas!$B$4 * 12), 0))</f>
        <v/>
      </c>
      <c r="AJ274" s="47" t="str">
        <f>IF($A274="", "", $AI274 * Premissas!$B$12)</f>
        <v/>
      </c>
      <c r="AK274" s="47" t="str">
        <f t="shared" si="13"/>
        <v/>
      </c>
      <c r="AL274" s="47"/>
      <c r="AM274" s="47"/>
    </row>
    <row r="275" ht="15.75" customHeight="1">
      <c r="K275" s="47" t="str">
        <f>IF($A275="", "", IFERROR($E275 * ($I275/$B275) * Premissas!$B$6, 0))</f>
        <v/>
      </c>
      <c r="L275" s="47" t="str">
        <f>IF($A275="", "", IFERROR(($E275 * Premissas!$B$4 * ($I275/$B275) + $E274 * Premissas!$B$5 * ($I274/$B274)) * Premissas!$B$7, 0))</f>
        <v/>
      </c>
      <c r="AI275" s="47" t="str">
        <f>IF($A275="", "", IFERROR(($I275 * Premissas!$B$5) + ($E275 * ($I275/$B275) * Premissas!$B$4 * 12), 0))</f>
        <v/>
      </c>
      <c r="AJ275" s="47" t="str">
        <f>IF($A275="", "", $AI275 * Premissas!$B$12)</f>
        <v/>
      </c>
      <c r="AK275" s="47" t="str">
        <f t="shared" si="13"/>
        <v/>
      </c>
      <c r="AL275" s="47"/>
      <c r="AM275" s="47"/>
    </row>
    <row r="276" ht="15.75" customHeight="1">
      <c r="K276" s="47" t="str">
        <f>IF($A276="", "", IFERROR($E276 * ($I276/$B276) * Premissas!$B$6, 0))</f>
        <v/>
      </c>
      <c r="L276" s="47" t="str">
        <f>IF($A276="", "", IFERROR(($E276 * Premissas!$B$4 * ($I276/$B276) + $E275 * Premissas!$B$5 * ($I275/$B275)) * Premissas!$B$7, 0))</f>
        <v/>
      </c>
      <c r="AI276" s="47" t="str">
        <f>IF($A276="", "", IFERROR(($I276 * Premissas!$B$5) + ($E276 * ($I276/$B276) * Premissas!$B$4 * 12), 0))</f>
        <v/>
      </c>
      <c r="AJ276" s="47" t="str">
        <f>IF($A276="", "", $AI276 * Premissas!$B$12)</f>
        <v/>
      </c>
      <c r="AK276" s="47" t="str">
        <f t="shared" si="13"/>
        <v/>
      </c>
      <c r="AL276" s="47"/>
      <c r="AM276" s="47"/>
    </row>
    <row r="277" ht="15.75" customHeight="1">
      <c r="K277" s="47" t="str">
        <f>IF($A277="", "", IFERROR($E277 * ($I277/$B277) * Premissas!$B$6, 0))</f>
        <v/>
      </c>
      <c r="L277" s="47" t="str">
        <f>IF($A277="", "", IFERROR(($E277 * Premissas!$B$4 * ($I277/$B277) + $E276 * Premissas!$B$5 * ($I276/$B276)) * Premissas!$B$7, 0))</f>
        <v/>
      </c>
      <c r="AI277" s="47" t="str">
        <f>IF($A277="", "", IFERROR(($I277 * Premissas!$B$5) + ($E277 * ($I277/$B277) * Premissas!$B$4 * 12), 0))</f>
        <v/>
      </c>
      <c r="AJ277" s="47" t="str">
        <f>IF($A277="", "", $AI277 * Premissas!$B$12)</f>
        <v/>
      </c>
      <c r="AK277" s="47" t="str">
        <f t="shared" si="13"/>
        <v/>
      </c>
      <c r="AL277" s="47"/>
      <c r="AM277" s="47"/>
    </row>
    <row r="278" ht="15.75" customHeight="1">
      <c r="K278" s="47" t="str">
        <f>IF($A278="", "", IFERROR($E278 * ($I278/$B278) * Premissas!$B$6, 0))</f>
        <v/>
      </c>
      <c r="L278" s="47" t="str">
        <f>IF($A278="", "", IFERROR(($E278 * Premissas!$B$4 * ($I278/$B278) + $E277 * Premissas!$B$5 * ($I277/$B277)) * Premissas!$B$7, 0))</f>
        <v/>
      </c>
      <c r="AI278" s="47" t="str">
        <f>IF($A278="", "", IFERROR(($I278 * Premissas!$B$5) + ($E278 * ($I278/$B278) * Premissas!$B$4 * 12), 0))</f>
        <v/>
      </c>
      <c r="AJ278" s="47" t="str">
        <f>IF($A278="", "", $AI278 * Premissas!$B$12)</f>
        <v/>
      </c>
      <c r="AK278" s="47" t="str">
        <f t="shared" si="13"/>
        <v/>
      </c>
      <c r="AL278" s="47"/>
      <c r="AM278" s="47"/>
    </row>
    <row r="279" ht="15.75" customHeight="1">
      <c r="K279" s="47" t="str">
        <f>IF($A279="", "", IFERROR($E279 * ($I279/$B279) * Premissas!$B$6, 0))</f>
        <v/>
      </c>
      <c r="L279" s="47" t="str">
        <f>IF($A279="", "", IFERROR(($E279 * Premissas!$B$4 * ($I279/$B279) + $E278 * Premissas!$B$5 * ($I278/$B278)) * Premissas!$B$7, 0))</f>
        <v/>
      </c>
      <c r="AI279" s="47" t="str">
        <f>IF($A279="", "", IFERROR(($I279 * Premissas!$B$5) + ($E279 * ($I279/$B279) * Premissas!$B$4 * 12), 0))</f>
        <v/>
      </c>
      <c r="AJ279" s="47" t="str">
        <f>IF($A279="", "", $AI279 * Premissas!$B$12)</f>
        <v/>
      </c>
      <c r="AK279" s="47" t="str">
        <f t="shared" si="13"/>
        <v/>
      </c>
      <c r="AL279" s="47"/>
      <c r="AM279" s="47"/>
    </row>
    <row r="280" ht="15.75" customHeight="1">
      <c r="K280" s="47" t="str">
        <f>IF($A280="", "", IFERROR($E280 * ($I280/$B280) * Premissas!$B$6, 0))</f>
        <v/>
      </c>
      <c r="L280" s="47" t="str">
        <f>IF($A280="", "", IFERROR(($E280 * Premissas!$B$4 * ($I280/$B280) + $E279 * Premissas!$B$5 * ($I279/$B279)) * Premissas!$B$7, 0))</f>
        <v/>
      </c>
      <c r="AI280" s="47" t="str">
        <f>IF($A280="", "", IFERROR(($I280 * Premissas!$B$5) + ($E280 * ($I280/$B280) * Premissas!$B$4 * 12), 0))</f>
        <v/>
      </c>
      <c r="AJ280" s="47" t="str">
        <f>IF($A280="", "", $AI280 * Premissas!$B$12)</f>
        <v/>
      </c>
      <c r="AK280" s="47" t="str">
        <f t="shared" si="13"/>
        <v/>
      </c>
      <c r="AL280" s="47"/>
      <c r="AM280" s="47"/>
    </row>
    <row r="281" ht="15.75" customHeight="1">
      <c r="K281" s="47" t="str">
        <f>IF($A281="", "", IFERROR($E281 * ($I281/$B281) * Premissas!$B$6, 0))</f>
        <v/>
      </c>
      <c r="L281" s="47" t="str">
        <f>IF($A281="", "", IFERROR(($E281 * Premissas!$B$4 * ($I281/$B281) + $E280 * Premissas!$B$5 * ($I280/$B280)) * Premissas!$B$7, 0))</f>
        <v/>
      </c>
      <c r="AI281" s="47" t="str">
        <f>IF($A281="", "", IFERROR(($I281 * Premissas!$B$5) + ($E281 * ($I281/$B281) * Premissas!$B$4 * 12), 0))</f>
        <v/>
      </c>
      <c r="AJ281" s="47" t="str">
        <f>IF($A281="", "", $AI281 * Premissas!$B$12)</f>
        <v/>
      </c>
      <c r="AK281" s="47" t="str">
        <f t="shared" si="13"/>
        <v/>
      </c>
      <c r="AL281" s="47"/>
      <c r="AM281" s="47"/>
    </row>
    <row r="282" ht="15.75" customHeight="1">
      <c r="K282" s="47" t="str">
        <f>IF($A282="", "", IFERROR($E282 * ($I282/$B282) * Premissas!$B$6, 0))</f>
        <v/>
      </c>
      <c r="L282" s="47" t="str">
        <f>IF($A282="", "", IFERROR(($E282 * Premissas!$B$4 * ($I282/$B282) + $E281 * Premissas!$B$5 * ($I281/$B281)) * Premissas!$B$7, 0))</f>
        <v/>
      </c>
      <c r="AI282" s="47" t="str">
        <f>IF($A282="", "", IFERROR(($I282 * Premissas!$B$5) + ($E282 * ($I282/$B282) * Premissas!$B$4 * 12), 0))</f>
        <v/>
      </c>
      <c r="AJ282" s="47" t="str">
        <f>IF($A282="", "", $AI282 * Premissas!$B$12)</f>
        <v/>
      </c>
      <c r="AK282" s="47" t="str">
        <f t="shared" si="13"/>
        <v/>
      </c>
      <c r="AL282" s="47"/>
      <c r="AM282" s="47"/>
    </row>
    <row r="283" ht="15.75" customHeight="1">
      <c r="K283" s="47" t="str">
        <f>IF($A283="", "", IFERROR($E283 * ($I283/$B283) * Premissas!$B$6, 0))</f>
        <v/>
      </c>
      <c r="L283" s="47" t="str">
        <f>IF($A283="", "", IFERROR(($E283 * Premissas!$B$4 * ($I283/$B283) + $E282 * Premissas!$B$5 * ($I282/$B282)) * Premissas!$B$7, 0))</f>
        <v/>
      </c>
      <c r="AI283" s="47" t="str">
        <f>IF($A283="", "", IFERROR(($I283 * Premissas!$B$5) + ($E283 * ($I283/$B283) * Premissas!$B$4 * 12), 0))</f>
        <v/>
      </c>
      <c r="AJ283" s="47" t="str">
        <f>IF($A283="", "", $AI283 * Premissas!$B$12)</f>
        <v/>
      </c>
      <c r="AK283" s="47" t="str">
        <f t="shared" si="13"/>
        <v/>
      </c>
      <c r="AL283" s="47"/>
      <c r="AM283" s="47"/>
    </row>
    <row r="284" ht="15.75" customHeight="1">
      <c r="K284" s="47" t="str">
        <f>IF($A284="", "", IFERROR($E284 * ($I284/$B284) * Premissas!$B$6, 0))</f>
        <v/>
      </c>
      <c r="L284" s="47" t="str">
        <f>IF($A284="", "", IFERROR(($E284 * Premissas!$B$4 * ($I284/$B284) + $E283 * Premissas!$B$5 * ($I283/$B283)) * Premissas!$B$7, 0))</f>
        <v/>
      </c>
      <c r="AI284" s="47" t="str">
        <f>IF($A284="", "", IFERROR(($I284 * Premissas!$B$5) + ($E284 * ($I284/$B284) * Premissas!$B$4 * 12), 0))</f>
        <v/>
      </c>
      <c r="AJ284" s="47" t="str">
        <f>IF($A284="", "", $AI284 * Premissas!$B$12)</f>
        <v/>
      </c>
      <c r="AK284" s="47" t="str">
        <f t="shared" si="13"/>
        <v/>
      </c>
      <c r="AL284" s="47"/>
      <c r="AM284" s="47"/>
    </row>
    <row r="285" ht="15.75" customHeight="1">
      <c r="K285" s="47" t="str">
        <f>IF($A285="", "", IFERROR($E285 * ($I285/$B285) * Premissas!$B$6, 0))</f>
        <v/>
      </c>
      <c r="L285" s="47" t="str">
        <f>IF($A285="", "", IFERROR(($E285 * Premissas!$B$4 * ($I285/$B285) + $E284 * Premissas!$B$5 * ($I284/$B284)) * Premissas!$B$7, 0))</f>
        <v/>
      </c>
      <c r="AI285" s="47" t="str">
        <f>IF($A285="", "", IFERROR(($I285 * Premissas!$B$5) + ($E285 * ($I285/$B285) * Premissas!$B$4 * 12), 0))</f>
        <v/>
      </c>
      <c r="AJ285" s="47" t="str">
        <f>IF($A285="", "", $AI285 * Premissas!$B$12)</f>
        <v/>
      </c>
      <c r="AK285" s="47" t="str">
        <f t="shared" si="13"/>
        <v/>
      </c>
      <c r="AL285" s="47"/>
      <c r="AM285" s="47"/>
    </row>
    <row r="286" ht="15.75" customHeight="1">
      <c r="K286" s="47" t="str">
        <f>IF($A286="", "", IFERROR($E286 * ($I286/$B286) * Premissas!$B$6, 0))</f>
        <v/>
      </c>
      <c r="L286" s="47" t="str">
        <f>IF($A286="", "", IFERROR(($E286 * Premissas!$B$4 * ($I286/$B286) + $E285 * Premissas!$B$5 * ($I285/$B285)) * Premissas!$B$7, 0))</f>
        <v/>
      </c>
      <c r="AI286" s="47" t="str">
        <f>IF($A286="", "", IFERROR(($I286 * Premissas!$B$5) + ($E286 * ($I286/$B286) * Premissas!$B$4 * 12), 0))</f>
        <v/>
      </c>
      <c r="AJ286" s="47" t="str">
        <f>IF($A286="", "", $AI286 * Premissas!$B$12)</f>
        <v/>
      </c>
      <c r="AK286" s="47" t="str">
        <f t="shared" si="13"/>
        <v/>
      </c>
      <c r="AL286" s="47"/>
      <c r="AM286" s="47"/>
    </row>
    <row r="287" ht="15.75" customHeight="1">
      <c r="K287" s="47" t="str">
        <f>IF($A287="", "", IFERROR($E287 * ($I287/$B287) * Premissas!$B$6, 0))</f>
        <v/>
      </c>
      <c r="L287" s="47" t="str">
        <f>IF($A287="", "", IFERROR(($E287 * Premissas!$B$4 * ($I287/$B287) + $E286 * Premissas!$B$5 * ($I286/$B286)) * Premissas!$B$7, 0))</f>
        <v/>
      </c>
      <c r="AI287" s="47" t="str">
        <f>IF($A287="", "", IFERROR(($I287 * Premissas!$B$5) + ($E287 * ($I287/$B287) * Premissas!$B$4 * 12), 0))</f>
        <v/>
      </c>
      <c r="AJ287" s="47" t="str">
        <f>IF($A287="", "", $AI287 * Premissas!$B$12)</f>
        <v/>
      </c>
      <c r="AK287" s="47" t="str">
        <f t="shared" si="13"/>
        <v/>
      </c>
      <c r="AL287" s="47"/>
      <c r="AM287" s="47"/>
    </row>
    <row r="288" ht="15.75" customHeight="1">
      <c r="K288" s="47" t="str">
        <f>IF($A288="", "", IFERROR($E288 * ($I288/$B288) * Premissas!$B$6, 0))</f>
        <v/>
      </c>
      <c r="L288" s="47" t="str">
        <f>IF($A288="", "", IFERROR(($E288 * Premissas!$B$4 * ($I288/$B288) + $E287 * Premissas!$B$5 * ($I287/$B287)) * Premissas!$B$7, 0))</f>
        <v/>
      </c>
      <c r="AI288" s="47" t="str">
        <f>IF($A288="", "", IFERROR(($I288 * Premissas!$B$5) + ($E288 * ($I288/$B288) * Premissas!$B$4 * 12), 0))</f>
        <v/>
      </c>
      <c r="AJ288" s="47" t="str">
        <f>IF($A288="", "", $AI288 * Premissas!$B$12)</f>
        <v/>
      </c>
      <c r="AK288" s="47" t="str">
        <f t="shared" si="13"/>
        <v/>
      </c>
      <c r="AL288" s="47"/>
      <c r="AM288" s="47"/>
    </row>
    <row r="289" ht="15.75" customHeight="1">
      <c r="K289" s="47" t="str">
        <f>IF($A289="", "", IFERROR($E289 * ($I289/$B289) * Premissas!$B$6, 0))</f>
        <v/>
      </c>
      <c r="L289" s="47" t="str">
        <f>IF($A289="", "", IFERROR(($E289 * Premissas!$B$4 * ($I289/$B289) + $E288 * Premissas!$B$5 * ($I288/$B288)) * Premissas!$B$7, 0))</f>
        <v/>
      </c>
      <c r="AI289" s="47" t="str">
        <f>IF($A289="", "", IFERROR(($I289 * Premissas!$B$5) + ($E289 * ($I289/$B289) * Premissas!$B$4 * 12), 0))</f>
        <v/>
      </c>
      <c r="AJ289" s="47" t="str">
        <f>IF($A289="", "", $AI289 * Premissas!$B$12)</f>
        <v/>
      </c>
      <c r="AK289" s="47" t="str">
        <f t="shared" si="13"/>
        <v/>
      </c>
      <c r="AL289" s="47"/>
      <c r="AM289" s="47"/>
    </row>
    <row r="290" ht="15.75" customHeight="1">
      <c r="K290" s="47" t="str">
        <f>IF($A290="", "", IFERROR($E290 * ($I290/$B290) * Premissas!$B$6, 0))</f>
        <v/>
      </c>
      <c r="L290" s="47" t="str">
        <f>IF($A290="", "", IFERROR(($E290 * Premissas!$B$4 * ($I290/$B290) + $E289 * Premissas!$B$5 * ($I289/$B289)) * Premissas!$B$7, 0))</f>
        <v/>
      </c>
      <c r="AI290" s="47" t="str">
        <f>IF($A290="", "", IFERROR(($I290 * Premissas!$B$5) + ($E290 * ($I290/$B290) * Premissas!$B$4 * 12), 0))</f>
        <v/>
      </c>
      <c r="AJ290" s="47" t="str">
        <f>IF($A290="", "", $AI290 * Premissas!$B$12)</f>
        <v/>
      </c>
      <c r="AK290" s="47" t="str">
        <f t="shared" si="13"/>
        <v/>
      </c>
      <c r="AL290" s="47"/>
      <c r="AM290" s="47"/>
    </row>
    <row r="291" ht="15.75" customHeight="1">
      <c r="K291" s="47" t="str">
        <f>IF($A291="", "", IFERROR($E291 * ($I291/$B291) * Premissas!$B$6, 0))</f>
        <v/>
      </c>
      <c r="L291" s="47" t="str">
        <f>IF($A291="", "", IFERROR(($E291 * Premissas!$B$4 * ($I291/$B291) + $E290 * Premissas!$B$5 * ($I290/$B290)) * Premissas!$B$7, 0))</f>
        <v/>
      </c>
      <c r="AI291" s="47" t="str">
        <f>IF($A291="", "", IFERROR(($I291 * Premissas!$B$5) + ($E291 * ($I291/$B291) * Premissas!$B$4 * 12), 0))</f>
        <v/>
      </c>
      <c r="AJ291" s="47" t="str">
        <f>IF($A291="", "", $AI291 * Premissas!$B$12)</f>
        <v/>
      </c>
      <c r="AK291" s="47" t="str">
        <f t="shared" si="13"/>
        <v/>
      </c>
      <c r="AL291" s="47"/>
      <c r="AM291" s="47"/>
    </row>
    <row r="292" ht="15.75" customHeight="1">
      <c r="K292" s="47" t="str">
        <f>IF($A292="", "", IFERROR($E292 * ($I292/$B292) * Premissas!$B$6, 0))</f>
        <v/>
      </c>
      <c r="L292" s="47" t="str">
        <f>IF($A292="", "", IFERROR(($E292 * Premissas!$B$4 * ($I292/$B292) + $E291 * Premissas!$B$5 * ($I291/$B291)) * Premissas!$B$7, 0))</f>
        <v/>
      </c>
      <c r="AI292" s="47" t="str">
        <f>IF($A292="", "", IFERROR(($I292 * Premissas!$B$5) + ($E292 * ($I292/$B292) * Premissas!$B$4 * 12), 0))</f>
        <v/>
      </c>
      <c r="AJ292" s="47" t="str">
        <f>IF($A292="", "", $AI292 * Premissas!$B$12)</f>
        <v/>
      </c>
      <c r="AK292" s="47" t="str">
        <f t="shared" si="13"/>
        <v/>
      </c>
      <c r="AL292" s="47"/>
      <c r="AM292" s="47"/>
    </row>
    <row r="293" ht="15.75" customHeight="1">
      <c r="K293" s="47" t="str">
        <f>IF($A293="", "", IFERROR($E293 * ($I293/$B293) * Premissas!$B$6, 0))</f>
        <v/>
      </c>
      <c r="L293" s="47" t="str">
        <f>IF($A293="", "", IFERROR(($E293 * Premissas!$B$4 * ($I293/$B293) + $E292 * Premissas!$B$5 * ($I292/$B292)) * Premissas!$B$7, 0))</f>
        <v/>
      </c>
      <c r="AI293" s="47" t="str">
        <f>IF($A293="", "", IFERROR(($I293 * Premissas!$B$5) + ($E293 * ($I293/$B293) * Premissas!$B$4 * 12), 0))</f>
        <v/>
      </c>
      <c r="AJ293" s="47" t="str">
        <f>IF($A293="", "", $AI293 * Premissas!$B$12)</f>
        <v/>
      </c>
      <c r="AK293" s="47" t="str">
        <f t="shared" si="13"/>
        <v/>
      </c>
      <c r="AL293" s="47"/>
      <c r="AM293" s="47"/>
    </row>
    <row r="294" ht="15.75" customHeight="1">
      <c r="K294" s="47" t="str">
        <f>IF($A294="", "", IFERROR($E294 * ($I294/$B294) * Premissas!$B$6, 0))</f>
        <v/>
      </c>
      <c r="L294" s="47" t="str">
        <f>IF($A294="", "", IFERROR(($E294 * Premissas!$B$4 * ($I294/$B294) + $E293 * Premissas!$B$5 * ($I293/$B293)) * Premissas!$B$7, 0))</f>
        <v/>
      </c>
      <c r="AI294" s="47" t="str">
        <f>IF($A294="", "", IFERROR(($I294 * Premissas!$B$5) + ($E294 * ($I294/$B294) * Premissas!$B$4 * 12), 0))</f>
        <v/>
      </c>
      <c r="AJ294" s="47" t="str">
        <f>IF($A294="", "", $AI294 * Premissas!$B$12)</f>
        <v/>
      </c>
      <c r="AK294" s="47" t="str">
        <f t="shared" si="13"/>
        <v/>
      </c>
      <c r="AL294" s="47"/>
      <c r="AM294" s="47"/>
    </row>
    <row r="295" ht="15.75" customHeight="1">
      <c r="K295" s="47" t="str">
        <f>IF($A295="", "", IFERROR($E295 * ($I295/$B295) * Premissas!$B$6, 0))</f>
        <v/>
      </c>
      <c r="L295" s="47" t="str">
        <f>IF($A295="", "", IFERROR(($E295 * Premissas!$B$4 * ($I295/$B295) + $E294 * Premissas!$B$5 * ($I294/$B294)) * Premissas!$B$7, 0))</f>
        <v/>
      </c>
      <c r="AI295" s="47" t="str">
        <f>IF($A295="", "", IFERROR(($I295 * Premissas!$B$5) + ($E295 * ($I295/$B295) * Premissas!$B$4 * 12), 0))</f>
        <v/>
      </c>
      <c r="AJ295" s="47" t="str">
        <f>IF($A295="", "", $AI295 * Premissas!$B$12)</f>
        <v/>
      </c>
      <c r="AK295" s="47" t="str">
        <f t="shared" si="13"/>
        <v/>
      </c>
      <c r="AL295" s="47"/>
      <c r="AM295" s="47"/>
    </row>
    <row r="296" ht="15.75" customHeight="1">
      <c r="K296" s="47" t="str">
        <f>IF($A296="", "", IFERROR($E296 * ($I296/$B296) * Premissas!$B$6, 0))</f>
        <v/>
      </c>
      <c r="L296" s="47" t="str">
        <f>IF($A296="", "", IFERROR(($E296 * Premissas!$B$4 * ($I296/$B296) + $E295 * Premissas!$B$5 * ($I295/$B295)) * Premissas!$B$7, 0))</f>
        <v/>
      </c>
      <c r="AI296" s="47" t="str">
        <f>IF($A296="", "", IFERROR(($I296 * Premissas!$B$5) + ($E296 * ($I296/$B296) * Premissas!$B$4 * 12), 0))</f>
        <v/>
      </c>
      <c r="AJ296" s="47" t="str">
        <f>IF($A296="", "", $AI296 * Premissas!$B$12)</f>
        <v/>
      </c>
      <c r="AK296" s="47" t="str">
        <f t="shared" si="13"/>
        <v/>
      </c>
      <c r="AL296" s="47"/>
      <c r="AM296" s="47"/>
    </row>
    <row r="297" ht="15.75" customHeight="1">
      <c r="K297" s="47" t="str">
        <f>IF($A297="", "", IFERROR($E297 * ($I297/$B297) * Premissas!$B$6, 0))</f>
        <v/>
      </c>
      <c r="L297" s="47" t="str">
        <f>IF($A297="", "", IFERROR(($E297 * Premissas!$B$4 * ($I297/$B297) + $E296 * Premissas!$B$5 * ($I296/$B296)) * Premissas!$B$7, 0))</f>
        <v/>
      </c>
      <c r="AI297" s="47" t="str">
        <f>IF($A297="", "", IFERROR(($I297 * Premissas!$B$5) + ($E297 * ($I297/$B297) * Premissas!$B$4 * 12), 0))</f>
        <v/>
      </c>
      <c r="AJ297" s="47" t="str">
        <f>IF($A297="", "", $AI297 * Premissas!$B$12)</f>
        <v/>
      </c>
      <c r="AK297" s="47" t="str">
        <f t="shared" si="13"/>
        <v/>
      </c>
      <c r="AL297" s="47"/>
      <c r="AM297" s="47"/>
    </row>
    <row r="298" ht="15.75" customHeight="1">
      <c r="K298" s="47" t="str">
        <f>IF($A298="", "", IFERROR($E298 * ($I298/$B298) * Premissas!$B$6, 0))</f>
        <v/>
      </c>
      <c r="L298" s="47" t="str">
        <f>IF($A298="", "", IFERROR(($E298 * Premissas!$B$4 * ($I298/$B298) + $E297 * Premissas!$B$5 * ($I297/$B297)) * Premissas!$B$7, 0))</f>
        <v/>
      </c>
      <c r="AI298" s="47" t="str">
        <f>IF($A298="", "", IFERROR(($I298 * Premissas!$B$5) + ($E298 * ($I298/$B298) * Premissas!$B$4 * 12), 0))</f>
        <v/>
      </c>
      <c r="AJ298" s="47" t="str">
        <f>IF($A298="", "", $AI298 * Premissas!$B$12)</f>
        <v/>
      </c>
      <c r="AK298" s="47" t="str">
        <f t="shared" si="13"/>
        <v/>
      </c>
      <c r="AL298" s="47"/>
      <c r="AM298" s="47"/>
    </row>
    <row r="299" ht="15.75" customHeight="1">
      <c r="K299" s="47" t="str">
        <f>IF($A299="", "", IFERROR($E299 * ($I299/$B299) * Premissas!$B$6, 0))</f>
        <v/>
      </c>
      <c r="L299" s="47" t="str">
        <f>IF($A299="", "", IFERROR(($E299 * Premissas!$B$4 * ($I299/$B299) + $E298 * Premissas!$B$5 * ($I298/$B298)) * Premissas!$B$7, 0))</f>
        <v/>
      </c>
      <c r="AI299" s="47" t="str">
        <f>IF($A299="", "", IFERROR(($I299 * Premissas!$B$5) + ($E299 * ($I299/$B299) * Premissas!$B$4 * 12), 0))</f>
        <v/>
      </c>
      <c r="AJ299" s="47" t="str">
        <f>IF($A299="", "", $AI299 * Premissas!$B$12)</f>
        <v/>
      </c>
      <c r="AK299" s="47" t="str">
        <f t="shared" si="13"/>
        <v/>
      </c>
      <c r="AL299" s="47"/>
      <c r="AM299" s="47"/>
    </row>
    <row r="300" ht="15.75" customHeight="1">
      <c r="K300" s="47" t="str">
        <f>IF($A300="", "", IFERROR($E300 * ($I300/$B300) * Premissas!$B$6, 0))</f>
        <v/>
      </c>
      <c r="L300" s="47" t="str">
        <f>IF($A300="", "", IFERROR(($E300 * Premissas!$B$4 * ($I300/$B300) + $E299 * Premissas!$B$5 * ($I299/$B299)) * Premissas!$B$7, 0))</f>
        <v/>
      </c>
      <c r="AI300" s="47" t="str">
        <f>IF($A300="", "", IFERROR(($I300 * Premissas!$B$5) + ($E300 * ($I300/$B300) * Premissas!$B$4 * 12), 0))</f>
        <v/>
      </c>
      <c r="AJ300" s="47" t="str">
        <f>IF($A300="", "", $AI300 * Premissas!$B$12)</f>
        <v/>
      </c>
      <c r="AK300" s="47" t="str">
        <f t="shared" si="13"/>
        <v/>
      </c>
      <c r="AL300" s="47"/>
      <c r="AM300" s="47"/>
    </row>
    <row r="301" ht="15.75" customHeight="1">
      <c r="K301" s="47" t="str">
        <f>IF($A301="", "", IFERROR($E301 * ($I301/$B301) * Premissas!$B$6, 0))</f>
        <v/>
      </c>
      <c r="L301" s="47" t="str">
        <f>IF($A301="", "", IFERROR(($E301 * Premissas!$B$4 * ($I301/$B301) + $E300 * Premissas!$B$5 * ($I300/$B300)) * Premissas!$B$7, 0))</f>
        <v/>
      </c>
      <c r="AI301" s="47" t="str">
        <f>IF($A301="", "", IFERROR(($I301 * Premissas!$B$5) + ($E301 * ($I301/$B301) * Premissas!$B$4 * 12), 0))</f>
        <v/>
      </c>
      <c r="AJ301" s="47" t="str">
        <f>IF($A301="", "", $AI301 * Premissas!$B$12)</f>
        <v/>
      </c>
      <c r="AK301" s="47" t="str">
        <f t="shared" si="13"/>
        <v/>
      </c>
      <c r="AL301" s="47"/>
      <c r="AM301" s="47"/>
    </row>
    <row r="302" ht="15.75" customHeight="1">
      <c r="K302" s="47" t="str">
        <f>IF($A302="", "", IFERROR($E302 * ($I302/$B302) * Premissas!$B$6, 0))</f>
        <v/>
      </c>
      <c r="L302" s="47" t="str">
        <f>IF($A302="", "", IFERROR(($E302 * Premissas!$B$4 * ($I302/$B302) + $E301 * Premissas!$B$5 * ($I301/$B301)) * Premissas!$B$7, 0))</f>
        <v/>
      </c>
      <c r="AI302" s="47" t="str">
        <f>IF($A302="", "", IFERROR(($I302 * Premissas!$B$5) + ($E302 * ($I302/$B302) * Premissas!$B$4 * 12), 0))</f>
        <v/>
      </c>
      <c r="AJ302" s="47" t="str">
        <f>IF($A302="", "", $AI302 * Premissas!$B$12)</f>
        <v/>
      </c>
      <c r="AK302" s="47" t="str">
        <f t="shared" si="13"/>
        <v/>
      </c>
      <c r="AL302" s="47"/>
      <c r="AM302" s="47"/>
    </row>
    <row r="303" ht="15.75" customHeight="1">
      <c r="K303" s="47" t="str">
        <f>IF($A303="", "", IFERROR($E303 * ($I303/$B303) * Premissas!$B$6, 0))</f>
        <v/>
      </c>
      <c r="L303" s="47" t="str">
        <f>IF($A303="", "", IFERROR(($E303 * Premissas!$B$4 * ($I303/$B303) + $E302 * Premissas!$B$5 * ($I302/$B302)) * Premissas!$B$7, 0))</f>
        <v/>
      </c>
      <c r="AI303" s="47" t="str">
        <f>IF($A303="", "", IFERROR(($I303 * Premissas!$B$5) + ($E303 * ($I303/$B303) * Premissas!$B$4 * 12), 0))</f>
        <v/>
      </c>
      <c r="AJ303" s="47" t="str">
        <f>IF($A303="", "", $AI303 * Premissas!$B$12)</f>
        <v/>
      </c>
      <c r="AK303" s="47" t="str">
        <f t="shared" si="13"/>
        <v/>
      </c>
      <c r="AL303" s="47"/>
      <c r="AM303" s="47"/>
    </row>
    <row r="304" ht="15.75" customHeight="1">
      <c r="K304" s="47" t="str">
        <f>IF($A304="", "", IFERROR($E304 * ($I304/$B304) * Premissas!$B$6, 0))</f>
        <v/>
      </c>
      <c r="L304" s="47" t="str">
        <f>IF($A304="", "", IFERROR(($E304 * Premissas!$B$4 * ($I304/$B304) + $E303 * Premissas!$B$5 * ($I303/$B303)) * Premissas!$B$7, 0))</f>
        <v/>
      </c>
      <c r="AI304" s="47" t="str">
        <f>IF($A304="", "", IFERROR(($I304 * Premissas!$B$5) + ($E304 * ($I304/$B304) * Premissas!$B$4 * 12), 0))</f>
        <v/>
      </c>
      <c r="AJ304" s="47" t="str">
        <f>IF($A304="", "", $AI304 * Premissas!$B$12)</f>
        <v/>
      </c>
      <c r="AK304" s="47" t="str">
        <f t="shared" si="13"/>
        <v/>
      </c>
      <c r="AL304" s="47"/>
      <c r="AM304" s="47"/>
    </row>
    <row r="305" ht="15.75" customHeight="1">
      <c r="K305" s="47" t="str">
        <f>IF($A305="", "", IFERROR($E305 * ($I305/$B305) * Premissas!$B$6, 0))</f>
        <v/>
      </c>
      <c r="L305" s="47" t="str">
        <f>IF($A305="", "", IFERROR(($E305 * Premissas!$B$4 * ($I305/$B305) + $E304 * Premissas!$B$5 * ($I304/$B304)) * Premissas!$B$7, 0))</f>
        <v/>
      </c>
      <c r="AI305" s="47" t="str">
        <f>IF($A305="", "", IFERROR(($I305 * Premissas!$B$5) + ($E305 * ($I305/$B305) * Premissas!$B$4 * 12), 0))</f>
        <v/>
      </c>
      <c r="AJ305" s="47" t="str">
        <f>IF($A305="", "", $AI305 * Premissas!$B$12)</f>
        <v/>
      </c>
      <c r="AK305" s="47" t="str">
        <f t="shared" si="13"/>
        <v/>
      </c>
      <c r="AL305" s="47"/>
      <c r="AM305" s="47"/>
    </row>
    <row r="306" ht="15.75" customHeight="1">
      <c r="K306" s="47" t="str">
        <f>IF($A306="", "", IFERROR($E306 * ($I306/$B306) * Premissas!$B$6, 0))</f>
        <v/>
      </c>
      <c r="L306" s="47" t="str">
        <f>IF($A306="", "", IFERROR(($E306 * Premissas!$B$4 * ($I306/$B306) + $E305 * Premissas!$B$5 * ($I305/$B305)) * Premissas!$B$7, 0))</f>
        <v/>
      </c>
      <c r="AI306" s="47" t="str">
        <f>IF($A306="", "", IFERROR(($I306 * Premissas!$B$5) + ($E306 * ($I306/$B306) * Premissas!$B$4 * 12), 0))</f>
        <v/>
      </c>
      <c r="AJ306" s="47" t="str">
        <f>IF($A306="", "", $AI306 * Premissas!$B$12)</f>
        <v/>
      </c>
      <c r="AK306" s="47" t="str">
        <f t="shared" si="13"/>
        <v/>
      </c>
      <c r="AL306" s="47"/>
      <c r="AM306" s="47"/>
    </row>
    <row r="307" ht="15.75" customHeight="1">
      <c r="K307" s="47" t="str">
        <f>IF($A307="", "", IFERROR($E307 * ($I307/$B307) * Premissas!$B$6, 0))</f>
        <v/>
      </c>
      <c r="L307" s="47" t="str">
        <f>IF($A307="", "", IFERROR(($E307 * Premissas!$B$4 * ($I307/$B307) + $E306 * Premissas!$B$5 * ($I306/$B306)) * Premissas!$B$7, 0))</f>
        <v/>
      </c>
      <c r="AI307" s="47" t="str">
        <f>IF($A307="", "", IFERROR(($I307 * Premissas!$B$5) + ($E307 * ($I307/$B307) * Premissas!$B$4 * 12), 0))</f>
        <v/>
      </c>
      <c r="AJ307" s="47" t="str">
        <f>IF($A307="", "", $AI307 * Premissas!$B$12)</f>
        <v/>
      </c>
      <c r="AK307" s="47" t="str">
        <f t="shared" si="13"/>
        <v/>
      </c>
      <c r="AL307" s="47"/>
      <c r="AM307" s="47"/>
    </row>
    <row r="308" ht="15.75" customHeight="1">
      <c r="K308" s="47" t="str">
        <f>IF($A308="", "", IFERROR($E308 * ($I308/$B308) * Premissas!$B$6, 0))</f>
        <v/>
      </c>
      <c r="L308" s="47" t="str">
        <f>IF($A308="", "", IFERROR(($E308 * Premissas!$B$4 * ($I308/$B308) + $E307 * Premissas!$B$5 * ($I307/$B307)) * Premissas!$B$7, 0))</f>
        <v/>
      </c>
      <c r="AI308" s="47" t="str">
        <f>IF($A308="", "", IFERROR(($I308 * Premissas!$B$5) + ($E308 * ($I308/$B308) * Premissas!$B$4 * 12), 0))</f>
        <v/>
      </c>
      <c r="AJ308" s="47" t="str">
        <f>IF($A308="", "", $AI308 * Premissas!$B$12)</f>
        <v/>
      </c>
      <c r="AK308" s="47" t="str">
        <f t="shared" si="13"/>
        <v/>
      </c>
      <c r="AL308" s="47"/>
      <c r="AM308" s="47"/>
    </row>
    <row r="309" ht="15.75" customHeight="1">
      <c r="K309" s="47" t="str">
        <f>IF($A309="", "", IFERROR($E309 * ($I309/$B309) * Premissas!$B$6, 0))</f>
        <v/>
      </c>
      <c r="L309" s="47" t="str">
        <f>IF($A309="", "", IFERROR(($E309 * Premissas!$B$4 * ($I309/$B309) + $E308 * Premissas!$B$5 * ($I308/$B308)) * Premissas!$B$7, 0))</f>
        <v/>
      </c>
      <c r="AI309" s="47" t="str">
        <f>IF($A309="", "", IFERROR(($I309 * Premissas!$B$5) + ($E309 * ($I309/$B309) * Premissas!$B$4 * 12), 0))</f>
        <v/>
      </c>
      <c r="AJ309" s="47" t="str">
        <f>IF($A309="", "", $AI309 * Premissas!$B$12)</f>
        <v/>
      </c>
      <c r="AK309" s="47" t="str">
        <f t="shared" si="13"/>
        <v/>
      </c>
      <c r="AL309" s="47"/>
      <c r="AM309" s="47"/>
    </row>
    <row r="310" ht="15.75" customHeight="1">
      <c r="K310" s="47" t="str">
        <f>IF($A310="", "", IFERROR($E310 * ($I310/$B310) * Premissas!$B$6, 0))</f>
        <v/>
      </c>
      <c r="L310" s="47" t="str">
        <f>IF($A310="", "", IFERROR(($E310 * Premissas!$B$4 * ($I310/$B310) + $E309 * Premissas!$B$5 * ($I309/$B309)) * Premissas!$B$7, 0))</f>
        <v/>
      </c>
      <c r="AI310" s="47" t="str">
        <f>IF($A310="", "", IFERROR(($I310 * Premissas!$B$5) + ($E310 * ($I310/$B310) * Premissas!$B$4 * 12), 0))</f>
        <v/>
      </c>
      <c r="AJ310" s="47" t="str">
        <f>IF($A310="", "", $AI310 * Premissas!$B$12)</f>
        <v/>
      </c>
      <c r="AK310" s="47" t="str">
        <f t="shared" si="13"/>
        <v/>
      </c>
      <c r="AL310" s="47"/>
      <c r="AM310" s="47"/>
    </row>
    <row r="311" ht="15.75" customHeight="1">
      <c r="K311" s="47" t="str">
        <f>IF($A311="", "", IFERROR($E311 * ($I311/$B311) * Premissas!$B$6, 0))</f>
        <v/>
      </c>
      <c r="L311" s="47" t="str">
        <f>IF($A311="", "", IFERROR(($E311 * Premissas!$B$4 * ($I311/$B311) + $E310 * Premissas!$B$5 * ($I310/$B310)) * Premissas!$B$7, 0))</f>
        <v/>
      </c>
      <c r="AI311" s="47" t="str">
        <f>IF($A311="", "", IFERROR(($I311 * Premissas!$B$5) + ($E311 * ($I311/$B311) * Premissas!$B$4 * 12), 0))</f>
        <v/>
      </c>
      <c r="AJ311" s="47" t="str">
        <f>IF($A311="", "", $AI311 * Premissas!$B$12)</f>
        <v/>
      </c>
      <c r="AK311" s="47" t="str">
        <f t="shared" si="13"/>
        <v/>
      </c>
      <c r="AL311" s="47"/>
      <c r="AM311" s="47"/>
    </row>
    <row r="312" ht="15.75" customHeight="1">
      <c r="K312" s="47" t="str">
        <f>IF($A312="", "", IFERROR($E312 * ($I312/$B312) * Premissas!$B$6, 0))</f>
        <v/>
      </c>
      <c r="L312" s="47" t="str">
        <f>IF($A312="", "", IFERROR(($E312 * Premissas!$B$4 * ($I312/$B312) + $E311 * Premissas!$B$5 * ($I311/$B311)) * Premissas!$B$7, 0))</f>
        <v/>
      </c>
      <c r="AI312" s="47" t="str">
        <f>IF($A312="", "", IFERROR(($I312 * Premissas!$B$5) + ($E312 * ($I312/$B312) * Premissas!$B$4 * 12), 0))</f>
        <v/>
      </c>
      <c r="AJ312" s="47" t="str">
        <f>IF($A312="", "", $AI312 * Premissas!$B$12)</f>
        <v/>
      </c>
      <c r="AK312" s="47" t="str">
        <f t="shared" si="13"/>
        <v/>
      </c>
      <c r="AL312" s="47"/>
      <c r="AM312" s="47"/>
    </row>
    <row r="313" ht="15.75" customHeight="1">
      <c r="K313" s="47" t="str">
        <f>IF($A313="", "", IFERROR($E313 * ($I313/$B313) * Premissas!$B$6, 0))</f>
        <v/>
      </c>
      <c r="L313" s="47" t="str">
        <f>IF($A313="", "", IFERROR(($E313 * Premissas!$B$4 * ($I313/$B313) + $E312 * Premissas!$B$5 * ($I312/$B312)) * Premissas!$B$7, 0))</f>
        <v/>
      </c>
      <c r="AI313" s="47" t="str">
        <f>IF($A313="", "", IFERROR(($I313 * Premissas!$B$5) + ($E313 * ($I313/$B313) * Premissas!$B$4 * 12), 0))</f>
        <v/>
      </c>
      <c r="AJ313" s="47" t="str">
        <f>IF($A313="", "", $AI313 * Premissas!$B$12)</f>
        <v/>
      </c>
      <c r="AK313" s="47" t="str">
        <f t="shared" si="13"/>
        <v/>
      </c>
      <c r="AL313" s="47"/>
      <c r="AM313" s="47"/>
    </row>
    <row r="314" ht="15.75" customHeight="1">
      <c r="K314" s="47" t="str">
        <f>IF($A314="", "", IFERROR($E314 * ($I314/$B314) * Premissas!$B$6, 0))</f>
        <v/>
      </c>
      <c r="L314" s="47" t="str">
        <f>IF($A314="", "", IFERROR(($E314 * Premissas!$B$4 * ($I314/$B314) + $E313 * Premissas!$B$5 * ($I313/$B313)) * Premissas!$B$7, 0))</f>
        <v/>
      </c>
      <c r="AI314" s="47" t="str">
        <f>IF($A314="", "", IFERROR(($I314 * Premissas!$B$5) + ($E314 * ($I314/$B314) * Premissas!$B$4 * 12), 0))</f>
        <v/>
      </c>
      <c r="AJ314" s="47" t="str">
        <f>IF($A314="", "", $AI314 * Premissas!$B$12)</f>
        <v/>
      </c>
      <c r="AK314" s="47" t="str">
        <f t="shared" si="13"/>
        <v/>
      </c>
      <c r="AL314" s="47"/>
      <c r="AM314" s="47"/>
    </row>
    <row r="315" ht="15.75" customHeight="1">
      <c r="K315" s="47" t="str">
        <f>IF($A315="", "", IFERROR($E315 * ($I315/$B315) * Premissas!$B$6, 0))</f>
        <v/>
      </c>
      <c r="L315" s="47" t="str">
        <f>IF($A315="", "", IFERROR(($E315 * Premissas!$B$4 * ($I315/$B315) + $E314 * Premissas!$B$5 * ($I314/$B314)) * Premissas!$B$7, 0))</f>
        <v/>
      </c>
      <c r="AI315" s="47" t="str">
        <f>IF($A315="", "", IFERROR(($I315 * Premissas!$B$5) + ($E315 * ($I315/$B315) * Premissas!$B$4 * 12), 0))</f>
        <v/>
      </c>
      <c r="AJ315" s="47" t="str">
        <f>IF($A315="", "", $AI315 * Premissas!$B$12)</f>
        <v/>
      </c>
      <c r="AK315" s="47" t="str">
        <f t="shared" si="13"/>
        <v/>
      </c>
      <c r="AL315" s="47"/>
      <c r="AM315" s="47"/>
    </row>
    <row r="316" ht="15.75" customHeight="1">
      <c r="K316" s="47" t="str">
        <f>IF($A316="", "", IFERROR($E316 * ($I316/$B316) * Premissas!$B$6, 0))</f>
        <v/>
      </c>
      <c r="L316" s="47" t="str">
        <f>IF($A316="", "", IFERROR(($E316 * Premissas!$B$4 * ($I316/$B316) + $E315 * Premissas!$B$5 * ($I315/$B315)) * Premissas!$B$7, 0))</f>
        <v/>
      </c>
      <c r="AI316" s="47" t="str">
        <f>IF($A316="", "", IFERROR(($I316 * Premissas!$B$5) + ($E316 * ($I316/$B316) * Premissas!$B$4 * 12), 0))</f>
        <v/>
      </c>
      <c r="AJ316" s="47" t="str">
        <f>IF($A316="", "", $AI316 * Premissas!$B$12)</f>
        <v/>
      </c>
      <c r="AK316" s="47" t="str">
        <f t="shared" si="13"/>
        <v/>
      </c>
      <c r="AL316" s="47"/>
      <c r="AM316" s="47"/>
    </row>
    <row r="317" ht="15.75" customHeight="1">
      <c r="K317" s="47" t="str">
        <f>IF($A317="", "", IFERROR($E317 * ($I317/$B317) * Premissas!$B$6, 0))</f>
        <v/>
      </c>
      <c r="L317" s="47" t="str">
        <f>IF($A317="", "", IFERROR(($E317 * Premissas!$B$4 * ($I317/$B317) + $E316 * Premissas!$B$5 * ($I316/$B316)) * Premissas!$B$7, 0))</f>
        <v/>
      </c>
      <c r="AI317" s="47" t="str">
        <f>IF($A317="", "", IFERROR(($I317 * Premissas!$B$5) + ($E317 * ($I317/$B317) * Premissas!$B$4 * 12), 0))</f>
        <v/>
      </c>
      <c r="AJ317" s="47" t="str">
        <f>IF($A317="", "", $AI317 * Premissas!$B$12)</f>
        <v/>
      </c>
      <c r="AK317" s="47" t="str">
        <f t="shared" si="13"/>
        <v/>
      </c>
      <c r="AL317" s="47"/>
      <c r="AM317" s="47"/>
    </row>
    <row r="318" ht="15.75" customHeight="1">
      <c r="K318" s="47" t="str">
        <f>IF($A318="", "", IFERROR($E318 * ($I318/$B318) * Premissas!$B$6, 0))</f>
        <v/>
      </c>
      <c r="L318" s="47" t="str">
        <f>IF($A318="", "", IFERROR(($E318 * Premissas!$B$4 * ($I318/$B318) + $E317 * Premissas!$B$5 * ($I317/$B317)) * Premissas!$B$7, 0))</f>
        <v/>
      </c>
      <c r="AI318" s="47" t="str">
        <f>IF($A318="", "", IFERROR(($I318 * Premissas!$B$5) + ($E318 * ($I318/$B318) * Premissas!$B$4 * 12), 0))</f>
        <v/>
      </c>
      <c r="AJ318" s="47" t="str">
        <f>IF($A318="", "", $AI318 * Premissas!$B$12)</f>
        <v/>
      </c>
      <c r="AK318" s="47" t="str">
        <f t="shared" si="13"/>
        <v/>
      </c>
      <c r="AL318" s="47"/>
      <c r="AM318" s="47"/>
    </row>
    <row r="319" ht="15.75" customHeight="1">
      <c r="K319" s="47" t="str">
        <f>IF($A319="", "", IFERROR($E319 * ($I319/$B319) * Premissas!$B$6, 0))</f>
        <v/>
      </c>
      <c r="L319" s="47" t="str">
        <f>IF($A319="", "", IFERROR(($E319 * Premissas!$B$4 * ($I319/$B319) + $E318 * Premissas!$B$5 * ($I318/$B318)) * Premissas!$B$7, 0))</f>
        <v/>
      </c>
      <c r="AI319" s="47" t="str">
        <f>IF($A319="", "", IFERROR(($I319 * Premissas!$B$5) + ($E319 * ($I319/$B319) * Premissas!$B$4 * 12), 0))</f>
        <v/>
      </c>
      <c r="AJ319" s="47" t="str">
        <f>IF($A319="", "", $AI319 * Premissas!$B$12)</f>
        <v/>
      </c>
      <c r="AK319" s="47" t="str">
        <f t="shared" si="13"/>
        <v/>
      </c>
      <c r="AL319" s="47"/>
      <c r="AM319" s="47"/>
    </row>
    <row r="320" ht="15.75" customHeight="1">
      <c r="K320" s="47" t="str">
        <f>IF($A320="", "", IFERROR($E320 * ($I320/$B320) * Premissas!$B$6, 0))</f>
        <v/>
      </c>
      <c r="L320" s="47" t="str">
        <f>IF($A320="", "", IFERROR(($E320 * Premissas!$B$4 * ($I320/$B320) + $E319 * Premissas!$B$5 * ($I319/$B319)) * Premissas!$B$7, 0))</f>
        <v/>
      </c>
      <c r="AI320" s="47" t="str">
        <f>IF($A320="", "", IFERROR(($I320 * Premissas!$B$5) + ($E320 * ($I320/$B320) * Premissas!$B$4 * 12), 0))</f>
        <v/>
      </c>
      <c r="AJ320" s="47" t="str">
        <f>IF($A320="", "", $AI320 * Premissas!$B$12)</f>
        <v/>
      </c>
      <c r="AK320" s="47" t="str">
        <f t="shared" si="13"/>
        <v/>
      </c>
      <c r="AL320" s="47"/>
      <c r="AM320" s="47"/>
    </row>
    <row r="321" ht="15.75" customHeight="1">
      <c r="K321" s="47" t="str">
        <f>IF($A321="", "", IFERROR($E321 * ($I321/$B321) * Premissas!$B$6, 0))</f>
        <v/>
      </c>
      <c r="L321" s="47" t="str">
        <f>IF($A321="", "", IFERROR(($E321 * Premissas!$B$4 * ($I321/$B321) + $E320 * Premissas!$B$5 * ($I320/$B320)) * Premissas!$B$7, 0))</f>
        <v/>
      </c>
      <c r="AI321" s="47" t="str">
        <f>IF($A321="", "", IFERROR(($I321 * Premissas!$B$5) + ($E321 * ($I321/$B321) * Premissas!$B$4 * 12), 0))</f>
        <v/>
      </c>
      <c r="AJ321" s="47" t="str">
        <f>IF($A321="", "", $AI321 * Premissas!$B$12)</f>
        <v/>
      </c>
      <c r="AK321" s="47" t="str">
        <f t="shared" si="13"/>
        <v/>
      </c>
      <c r="AL321" s="47"/>
      <c r="AM321" s="47"/>
    </row>
    <row r="322" ht="15.75" customHeight="1">
      <c r="K322" s="47" t="str">
        <f>IF($A322="", "", IFERROR($E322 * ($I322/$B322) * Premissas!$B$6, 0))</f>
        <v/>
      </c>
      <c r="L322" s="47" t="str">
        <f>IF($A322="", "", IFERROR(($E322 * Premissas!$B$4 * ($I322/$B322) + $E321 * Premissas!$B$5 * ($I321/$B321)) * Premissas!$B$7, 0))</f>
        <v/>
      </c>
      <c r="AI322" s="47" t="str">
        <f>IF($A322="", "", IFERROR(($I322 * Premissas!$B$5) + ($E322 * ($I322/$B322) * Premissas!$B$4 * 12), 0))</f>
        <v/>
      </c>
      <c r="AJ322" s="47" t="str">
        <f>IF($A322="", "", $AI322 * Premissas!$B$12)</f>
        <v/>
      </c>
      <c r="AK322" s="47" t="str">
        <f t="shared" si="13"/>
        <v/>
      </c>
      <c r="AL322" s="47"/>
      <c r="AM322" s="47"/>
    </row>
    <row r="323" ht="15.75" customHeight="1">
      <c r="K323" s="47" t="str">
        <f>IF($A323="", "", IFERROR($E323 * ($I323/$B323) * Premissas!$B$6, 0))</f>
        <v/>
      </c>
      <c r="L323" s="47" t="str">
        <f>IF($A323="", "", IFERROR(($E323 * Premissas!$B$4 * ($I323/$B323) + $E322 * Premissas!$B$5 * ($I322/$B322)) * Premissas!$B$7, 0))</f>
        <v/>
      </c>
      <c r="AI323" s="47" t="str">
        <f>IF($A323="", "", IFERROR(($I323 * Premissas!$B$5) + ($E323 * ($I323/$B323) * Premissas!$B$4 * 12), 0))</f>
        <v/>
      </c>
      <c r="AJ323" s="47" t="str">
        <f>IF($A323="", "", $AI323 * Premissas!$B$12)</f>
        <v/>
      </c>
      <c r="AK323" s="47" t="str">
        <f t="shared" si="13"/>
        <v/>
      </c>
      <c r="AL323" s="47"/>
      <c r="AM323" s="47"/>
    </row>
    <row r="324" ht="15.75" customHeight="1">
      <c r="K324" s="47" t="str">
        <f>IF($A324="", "", IFERROR($E324 * ($I324/$B324) * Premissas!$B$6, 0))</f>
        <v/>
      </c>
      <c r="L324" s="47" t="str">
        <f>IF($A324="", "", IFERROR(($E324 * Premissas!$B$4 * ($I324/$B324) + $E323 * Premissas!$B$5 * ($I323/$B323)) * Premissas!$B$7, 0))</f>
        <v/>
      </c>
      <c r="AI324" s="47" t="str">
        <f>IF($A324="", "", IFERROR(($I324 * Premissas!$B$5) + ($E324 * ($I324/$B324) * Premissas!$B$4 * 12), 0))</f>
        <v/>
      </c>
      <c r="AJ324" s="47" t="str">
        <f>IF($A324="", "", $AI324 * Premissas!$B$12)</f>
        <v/>
      </c>
      <c r="AK324" s="47" t="str">
        <f t="shared" si="13"/>
        <v/>
      </c>
      <c r="AL324" s="47"/>
      <c r="AM324" s="47"/>
    </row>
    <row r="325" ht="15.75" customHeight="1">
      <c r="K325" s="47" t="str">
        <f>IF($A325="", "", IFERROR($E325 * ($I325/$B325) * Premissas!$B$6, 0))</f>
        <v/>
      </c>
      <c r="L325" s="47" t="str">
        <f>IF($A325="", "", IFERROR(($E325 * Premissas!$B$4 * ($I325/$B325) + $E324 * Premissas!$B$5 * ($I324/$B324)) * Premissas!$B$7, 0))</f>
        <v/>
      </c>
      <c r="AI325" s="47" t="str">
        <f>IF($A325="", "", IFERROR(($I325 * Premissas!$B$5) + ($E325 * ($I325/$B325) * Premissas!$B$4 * 12), 0))</f>
        <v/>
      </c>
      <c r="AJ325" s="47" t="str">
        <f>IF($A325="", "", $AI325 * Premissas!$B$12)</f>
        <v/>
      </c>
      <c r="AK325" s="47" t="str">
        <f t="shared" si="13"/>
        <v/>
      </c>
      <c r="AL325" s="47"/>
      <c r="AM325" s="47"/>
    </row>
    <row r="326" ht="15.75" customHeight="1">
      <c r="K326" s="47" t="str">
        <f>IF($A326="", "", IFERROR($E326 * ($I326/$B326) * Premissas!$B$6, 0))</f>
        <v/>
      </c>
      <c r="L326" s="47" t="str">
        <f>IF($A326="", "", IFERROR(($E326 * Premissas!$B$4 * ($I326/$B326) + $E325 * Premissas!$B$5 * ($I325/$B325)) * Premissas!$B$7, 0))</f>
        <v/>
      </c>
      <c r="AI326" s="47" t="str">
        <f>IF($A326="", "", IFERROR(($I326 * Premissas!$B$5) + ($E326 * ($I326/$B326) * Premissas!$B$4 * 12), 0))</f>
        <v/>
      </c>
      <c r="AJ326" s="47" t="str">
        <f>IF($A326="", "", $AI326 * Premissas!$B$12)</f>
        <v/>
      </c>
      <c r="AK326" s="47" t="str">
        <f t="shared" si="13"/>
        <v/>
      </c>
      <c r="AL326" s="47"/>
      <c r="AM326" s="47"/>
    </row>
    <row r="327" ht="15.75" customHeight="1">
      <c r="K327" s="47" t="str">
        <f>IF($A327="", "", IFERROR($E327 * ($I327/$B327) * Premissas!$B$6, 0))</f>
        <v/>
      </c>
      <c r="L327" s="47" t="str">
        <f>IF($A327="", "", IFERROR(($E327 * Premissas!$B$4 * ($I327/$B327) + $E326 * Premissas!$B$5 * ($I326/$B326)) * Premissas!$B$7, 0))</f>
        <v/>
      </c>
      <c r="AI327" s="47" t="str">
        <f>IF($A327="", "", IFERROR(($I327 * Premissas!$B$5) + ($E327 * ($I327/$B327) * Premissas!$B$4 * 12), 0))</f>
        <v/>
      </c>
      <c r="AJ327" s="47" t="str">
        <f>IF($A327="", "", $AI327 * Premissas!$B$12)</f>
        <v/>
      </c>
      <c r="AK327" s="47" t="str">
        <f t="shared" si="13"/>
        <v/>
      </c>
      <c r="AL327" s="47"/>
      <c r="AM327" s="47"/>
    </row>
    <row r="328" ht="15.75" customHeight="1">
      <c r="K328" s="47" t="str">
        <f>IF($A328="", "", IFERROR($E328 * ($I328/$B328) * Premissas!$B$6, 0))</f>
        <v/>
      </c>
      <c r="L328" s="47" t="str">
        <f>IF($A328="", "", IFERROR(($E328 * Premissas!$B$4 * ($I328/$B328) + $E327 * Premissas!$B$5 * ($I327/$B327)) * Premissas!$B$7, 0))</f>
        <v/>
      </c>
      <c r="AI328" s="47" t="str">
        <f>IF($A328="", "", IFERROR(($I328 * Premissas!$B$5) + ($E328 * ($I328/$B328) * Premissas!$B$4 * 12), 0))</f>
        <v/>
      </c>
      <c r="AJ328" s="47" t="str">
        <f>IF($A328="", "", $AI328 * Premissas!$B$12)</f>
        <v/>
      </c>
      <c r="AK328" s="47" t="str">
        <f t="shared" si="13"/>
        <v/>
      </c>
      <c r="AL328" s="47"/>
      <c r="AM328" s="47"/>
    </row>
    <row r="329" ht="15.75" customHeight="1">
      <c r="K329" s="47" t="str">
        <f>IF($A329="", "", IFERROR($E329 * ($I329/$B329) * Premissas!$B$6, 0))</f>
        <v/>
      </c>
      <c r="L329" s="47" t="str">
        <f>IF($A329="", "", IFERROR(($E329 * Premissas!$B$4 * ($I329/$B329) + $E328 * Premissas!$B$5 * ($I328/$B328)) * Premissas!$B$7, 0))</f>
        <v/>
      </c>
      <c r="AI329" s="47" t="str">
        <f>IF($A329="", "", IFERROR(($I329 * Premissas!$B$5) + ($E329 * ($I329/$B329) * Premissas!$B$4 * 12), 0))</f>
        <v/>
      </c>
      <c r="AJ329" s="47" t="str">
        <f>IF($A329="", "", $AI329 * Premissas!$B$12)</f>
        <v/>
      </c>
      <c r="AK329" s="47" t="str">
        <f t="shared" si="13"/>
        <v/>
      </c>
      <c r="AL329" s="47"/>
      <c r="AM329" s="47"/>
    </row>
    <row r="330" ht="15.75" customHeight="1">
      <c r="K330" s="47" t="str">
        <f>IF($A330="", "", IFERROR($E330 * ($I330/$B330) * Premissas!$B$6, 0))</f>
        <v/>
      </c>
      <c r="L330" s="47" t="str">
        <f>IF($A330="", "", IFERROR(($E330 * Premissas!$B$4 * ($I330/$B330) + $E329 * Premissas!$B$5 * ($I329/$B329)) * Premissas!$B$7, 0))</f>
        <v/>
      </c>
      <c r="AI330" s="47" t="str">
        <f>IF($A330="", "", IFERROR(($I330 * Premissas!$B$5) + ($E330 * ($I330/$B330) * Premissas!$B$4 * 12), 0))</f>
        <v/>
      </c>
      <c r="AJ330" s="47" t="str">
        <f>IF($A330="", "", $AI330 * Premissas!$B$12)</f>
        <v/>
      </c>
      <c r="AK330" s="47" t="str">
        <f t="shared" si="13"/>
        <v/>
      </c>
      <c r="AL330" s="47"/>
      <c r="AM330" s="47"/>
    </row>
    <row r="331" ht="15.75" customHeight="1">
      <c r="K331" s="47" t="str">
        <f>IF($A331="", "", IFERROR($E331 * ($I331/$B331) * Premissas!$B$6, 0))</f>
        <v/>
      </c>
      <c r="L331" s="47" t="str">
        <f>IF($A331="", "", IFERROR(($E331 * Premissas!$B$4 * ($I331/$B331) + $E330 * Premissas!$B$5 * ($I330/$B330)) * Premissas!$B$7, 0))</f>
        <v/>
      </c>
      <c r="AI331" s="47" t="str">
        <f>IF($A331="", "", IFERROR(($I331 * Premissas!$B$5) + ($E331 * ($I331/$B331) * Premissas!$B$4 * 12), 0))</f>
        <v/>
      </c>
      <c r="AJ331" s="47" t="str">
        <f>IF($A331="", "", $AI331 * Premissas!$B$12)</f>
        <v/>
      </c>
      <c r="AK331" s="47" t="str">
        <f t="shared" si="13"/>
        <v/>
      </c>
      <c r="AL331" s="47"/>
      <c r="AM331" s="47"/>
    </row>
    <row r="332" ht="15.75" customHeight="1">
      <c r="K332" s="47" t="str">
        <f>IF($A332="", "", IFERROR($E332 * ($I332/$B332) * Premissas!$B$6, 0))</f>
        <v/>
      </c>
      <c r="L332" s="47" t="str">
        <f>IF($A332="", "", IFERROR(($E332 * Premissas!$B$4 * ($I332/$B332) + $E331 * Premissas!$B$5 * ($I331/$B331)) * Premissas!$B$7, 0))</f>
        <v/>
      </c>
      <c r="AI332" s="47" t="str">
        <f>IF($A332="", "", IFERROR(($I332 * Premissas!$B$5) + ($E332 * ($I332/$B332) * Premissas!$B$4 * 12), 0))</f>
        <v/>
      </c>
      <c r="AJ332" s="47" t="str">
        <f>IF($A332="", "", $AI332 * Premissas!$B$12)</f>
        <v/>
      </c>
      <c r="AK332" s="47" t="str">
        <f t="shared" si="13"/>
        <v/>
      </c>
      <c r="AL332" s="47"/>
      <c r="AM332" s="47"/>
    </row>
    <row r="333" ht="15.75" customHeight="1">
      <c r="K333" s="47" t="str">
        <f>IF($A333="", "", IFERROR($E333 * ($I333/$B333) * Premissas!$B$6, 0))</f>
        <v/>
      </c>
      <c r="L333" s="47" t="str">
        <f>IF($A333="", "", IFERROR(($E333 * Premissas!$B$4 * ($I333/$B333) + $E332 * Premissas!$B$5 * ($I332/$B332)) * Premissas!$B$7, 0))</f>
        <v/>
      </c>
      <c r="AI333" s="47" t="str">
        <f>IF($A333="", "", IFERROR(($I333 * Premissas!$B$5) + ($E333 * ($I333/$B333) * Premissas!$B$4 * 12), 0))</f>
        <v/>
      </c>
      <c r="AJ333" s="47" t="str">
        <f>IF($A333="", "", $AI333 * Premissas!$B$12)</f>
        <v/>
      </c>
      <c r="AK333" s="47" t="str">
        <f t="shared" si="13"/>
        <v/>
      </c>
      <c r="AL333" s="47"/>
      <c r="AM333" s="47"/>
    </row>
    <row r="334" ht="15.75" customHeight="1">
      <c r="K334" s="47" t="str">
        <f>IF($A334="", "", IFERROR($E334 * ($I334/$B334) * Premissas!$B$6, 0))</f>
        <v/>
      </c>
      <c r="L334" s="47" t="str">
        <f>IF($A334="", "", IFERROR(($E334 * Premissas!$B$4 * ($I334/$B334) + $E333 * Premissas!$B$5 * ($I333/$B333)) * Premissas!$B$7, 0))</f>
        <v/>
      </c>
      <c r="AI334" s="47" t="str">
        <f>IF($A334="", "", IFERROR(($I334 * Premissas!$B$5) + ($E334 * ($I334/$B334) * Premissas!$B$4 * 12), 0))</f>
        <v/>
      </c>
      <c r="AJ334" s="47" t="str">
        <f>IF($A334="", "", $AI334 * Premissas!$B$12)</f>
        <v/>
      </c>
      <c r="AK334" s="47" t="str">
        <f t="shared" si="13"/>
        <v/>
      </c>
      <c r="AL334" s="47"/>
      <c r="AM334" s="47"/>
    </row>
    <row r="335" ht="15.75" customHeight="1">
      <c r="K335" s="47" t="str">
        <f>IF($A335="", "", IFERROR($E335 * ($I335/$B335) * Premissas!$B$6, 0))</f>
        <v/>
      </c>
      <c r="L335" s="47" t="str">
        <f>IF($A335="", "", IFERROR(($E335 * Premissas!$B$4 * ($I335/$B335) + $E334 * Premissas!$B$5 * ($I334/$B334)) * Premissas!$B$7, 0))</f>
        <v/>
      </c>
      <c r="AI335" s="47" t="str">
        <f>IF($A335="", "", IFERROR(($I335 * Premissas!$B$5) + ($E335 * ($I335/$B335) * Premissas!$B$4 * 12), 0))</f>
        <v/>
      </c>
      <c r="AJ335" s="47" t="str">
        <f>IF($A335="", "", $AI335 * Premissas!$B$12)</f>
        <v/>
      </c>
      <c r="AK335" s="47" t="str">
        <f t="shared" si="13"/>
        <v/>
      </c>
      <c r="AL335" s="47"/>
      <c r="AM335" s="47"/>
    </row>
    <row r="336" ht="15.75" customHeight="1">
      <c r="K336" s="47" t="str">
        <f>IF($A336="", "", IFERROR($E336 * ($I336/$B336) * Premissas!$B$6, 0))</f>
        <v/>
      </c>
      <c r="L336" s="47" t="str">
        <f>IF($A336="", "", IFERROR(($E336 * Premissas!$B$4 * ($I336/$B336) + $E335 * Premissas!$B$5 * ($I335/$B335)) * Premissas!$B$7, 0))</f>
        <v/>
      </c>
      <c r="AI336" s="47" t="str">
        <f>IF($A336="", "", IFERROR(($I336 * Premissas!$B$5) + ($E336 * ($I336/$B336) * Premissas!$B$4 * 12), 0))</f>
        <v/>
      </c>
      <c r="AJ336" s="47" t="str">
        <f>IF($A336="", "", $AI336 * Premissas!$B$12)</f>
        <v/>
      </c>
      <c r="AK336" s="47" t="str">
        <f t="shared" si="13"/>
        <v/>
      </c>
      <c r="AL336" s="47"/>
      <c r="AM336" s="47"/>
    </row>
    <row r="337" ht="15.75" customHeight="1">
      <c r="K337" s="47" t="str">
        <f>IF($A337="", "", IFERROR($E337 * ($I337/$B337) * Premissas!$B$6, 0))</f>
        <v/>
      </c>
      <c r="L337" s="47" t="str">
        <f>IF($A337="", "", IFERROR(($E337 * Premissas!$B$4 * ($I337/$B337) + $E336 * Premissas!$B$5 * ($I336/$B336)) * Premissas!$B$7, 0))</f>
        <v/>
      </c>
      <c r="AI337" s="47" t="str">
        <f>IF($A337="", "", IFERROR(($I337 * Premissas!$B$5) + ($E337 * ($I337/$B337) * Premissas!$B$4 * 12), 0))</f>
        <v/>
      </c>
      <c r="AJ337" s="47" t="str">
        <f>IF($A337="", "", $AI337 * Premissas!$B$12)</f>
        <v/>
      </c>
      <c r="AK337" s="47" t="str">
        <f t="shared" si="13"/>
        <v/>
      </c>
      <c r="AL337" s="47"/>
      <c r="AM337" s="47"/>
    </row>
    <row r="338" ht="15.75" customHeight="1">
      <c r="K338" s="47" t="str">
        <f>IF($A338="", "", IFERROR($E338 * ($I338/$B338) * Premissas!$B$6, 0))</f>
        <v/>
      </c>
      <c r="L338" s="47" t="str">
        <f>IF($A338="", "", IFERROR(($E338 * Premissas!$B$4 * ($I338/$B338) + $E337 * Premissas!$B$5 * ($I337/$B337)) * Premissas!$B$7, 0))</f>
        <v/>
      </c>
      <c r="AI338" s="47" t="str">
        <f>IF($A338="", "", IFERROR(($I338 * Premissas!$B$5) + ($E338 * ($I338/$B338) * Premissas!$B$4 * 12), 0))</f>
        <v/>
      </c>
      <c r="AJ338" s="47" t="str">
        <f>IF($A338="", "", $AI338 * Premissas!$B$12)</f>
        <v/>
      </c>
      <c r="AK338" s="47" t="str">
        <f t="shared" si="13"/>
        <v/>
      </c>
      <c r="AL338" s="47"/>
      <c r="AM338" s="47"/>
    </row>
    <row r="339" ht="15.75" customHeight="1">
      <c r="K339" s="47" t="str">
        <f>IF($A339="", "", IFERROR($E339 * ($I339/$B339) * Premissas!$B$6, 0))</f>
        <v/>
      </c>
      <c r="L339" s="47" t="str">
        <f>IF($A339="", "", IFERROR(($E339 * Premissas!$B$4 * ($I339/$B339) + $E338 * Premissas!$B$5 * ($I338/$B338)) * Premissas!$B$7, 0))</f>
        <v/>
      </c>
      <c r="AI339" s="47" t="str">
        <f>IF($A339="", "", IFERROR(($I339 * Premissas!$B$5) + ($E339 * ($I339/$B339) * Premissas!$B$4 * 12), 0))</f>
        <v/>
      </c>
      <c r="AJ339" s="47" t="str">
        <f>IF($A339="", "", $AI339 * Premissas!$B$12)</f>
        <v/>
      </c>
      <c r="AK339" s="47" t="str">
        <f t="shared" si="13"/>
        <v/>
      </c>
      <c r="AL339" s="47"/>
      <c r="AM339" s="47"/>
    </row>
    <row r="340" ht="15.75" customHeight="1">
      <c r="K340" s="47" t="str">
        <f>IF($A340="", "", IFERROR($E340 * ($I340/$B340) * Premissas!$B$6, 0))</f>
        <v/>
      </c>
      <c r="L340" s="47" t="str">
        <f>IF($A340="", "", IFERROR(($E340 * Premissas!$B$4 * ($I340/$B340) + $E339 * Premissas!$B$5 * ($I339/$B339)) * Premissas!$B$7, 0))</f>
        <v/>
      </c>
      <c r="AI340" s="47" t="str">
        <f>IF($A340="", "", IFERROR(($I340 * Premissas!$B$5) + ($E340 * ($I340/$B340) * Premissas!$B$4 * 12), 0))</f>
        <v/>
      </c>
      <c r="AJ340" s="47" t="str">
        <f>IF($A340="", "", $AI340 * Premissas!$B$12)</f>
        <v/>
      </c>
      <c r="AK340" s="47" t="str">
        <f t="shared" si="13"/>
        <v/>
      </c>
      <c r="AL340" s="47"/>
      <c r="AM340" s="47"/>
    </row>
    <row r="341" ht="15.75" customHeight="1">
      <c r="K341" s="47" t="str">
        <f>IF($A341="", "", IFERROR($E341 * ($I341/$B341) * Premissas!$B$6, 0))</f>
        <v/>
      </c>
      <c r="L341" s="47" t="str">
        <f>IF($A341="", "", IFERROR(($E341 * Premissas!$B$4 * ($I341/$B341) + $E340 * Premissas!$B$5 * ($I340/$B340)) * Premissas!$B$7, 0))</f>
        <v/>
      </c>
      <c r="AI341" s="47" t="str">
        <f>IF($A341="", "", IFERROR(($I341 * Premissas!$B$5) + ($E341 * ($I341/$B341) * Premissas!$B$4 * 12), 0))</f>
        <v/>
      </c>
      <c r="AJ341" s="47" t="str">
        <f>IF($A341="", "", $AI341 * Premissas!$B$12)</f>
        <v/>
      </c>
      <c r="AK341" s="47" t="str">
        <f t="shared" si="13"/>
        <v/>
      </c>
      <c r="AL341" s="47"/>
      <c r="AM341" s="47"/>
    </row>
    <row r="342" ht="15.75" customHeight="1">
      <c r="K342" s="47" t="str">
        <f>IF($A342="", "", IFERROR($E342 * ($I342/$B342) * Premissas!$B$6, 0))</f>
        <v/>
      </c>
      <c r="L342" s="47" t="str">
        <f>IF($A342="", "", IFERROR(($E342 * Premissas!$B$4 * ($I342/$B342) + $E341 * Premissas!$B$5 * ($I341/$B341)) * Premissas!$B$7, 0))</f>
        <v/>
      </c>
      <c r="AI342" s="47" t="str">
        <f>IF($A342="", "", IFERROR(($I342 * Premissas!$B$5) + ($E342 * ($I342/$B342) * Premissas!$B$4 * 12), 0))</f>
        <v/>
      </c>
      <c r="AJ342" s="47" t="str">
        <f>IF($A342="", "", $AI342 * Premissas!$B$12)</f>
        <v/>
      </c>
      <c r="AK342" s="47" t="str">
        <f t="shared" si="13"/>
        <v/>
      </c>
      <c r="AL342" s="47"/>
      <c r="AM342" s="47"/>
    </row>
    <row r="343" ht="15.75" customHeight="1">
      <c r="K343" s="47" t="str">
        <f>IF($A343="", "", IFERROR($E343 * ($I343/$B343) * Premissas!$B$6, 0))</f>
        <v/>
      </c>
      <c r="L343" s="47" t="str">
        <f>IF($A343="", "", IFERROR(($E343 * Premissas!$B$4 * ($I343/$B343) + $E342 * Premissas!$B$5 * ($I342/$B342)) * Premissas!$B$7, 0))</f>
        <v/>
      </c>
      <c r="AI343" s="47" t="str">
        <f>IF($A343="", "", IFERROR(($I343 * Premissas!$B$5) + ($E343 * ($I343/$B343) * Premissas!$B$4 * 12), 0))</f>
        <v/>
      </c>
      <c r="AJ343" s="47" t="str">
        <f>IF($A343="", "", $AI343 * Premissas!$B$12)</f>
        <v/>
      </c>
      <c r="AK343" s="47" t="str">
        <f t="shared" si="13"/>
        <v/>
      </c>
      <c r="AL343" s="47"/>
      <c r="AM343" s="47"/>
    </row>
    <row r="344" ht="15.75" customHeight="1">
      <c r="K344" s="47" t="str">
        <f>IF($A344="", "", IFERROR($E344 * ($I344/$B344) * Premissas!$B$6, 0))</f>
        <v/>
      </c>
      <c r="L344" s="47" t="str">
        <f>IF($A344="", "", IFERROR(($E344 * Premissas!$B$4 * ($I344/$B344) + $E343 * Premissas!$B$5 * ($I343/$B343)) * Premissas!$B$7, 0))</f>
        <v/>
      </c>
      <c r="AI344" s="47" t="str">
        <f>IF($A344="", "", IFERROR(($I344 * Premissas!$B$5) + ($E344 * ($I344/$B344) * Premissas!$B$4 * 12), 0))</f>
        <v/>
      </c>
      <c r="AJ344" s="47" t="str">
        <f>IF($A344="", "", $AI344 * Premissas!$B$12)</f>
        <v/>
      </c>
      <c r="AK344" s="47" t="str">
        <f t="shared" si="13"/>
        <v/>
      </c>
      <c r="AL344" s="47"/>
      <c r="AM344" s="47"/>
    </row>
    <row r="345" ht="15.75" customHeight="1">
      <c r="K345" s="47" t="str">
        <f>IF($A345="", "", IFERROR($E345 * ($I345/$B345) * Premissas!$B$6, 0))</f>
        <v/>
      </c>
      <c r="L345" s="47" t="str">
        <f>IF($A345="", "", IFERROR(($E345 * Premissas!$B$4 * ($I345/$B345) + $E344 * Premissas!$B$5 * ($I344/$B344)) * Premissas!$B$7, 0))</f>
        <v/>
      </c>
      <c r="AI345" s="47" t="str">
        <f>IF($A345="", "", IFERROR(($I345 * Premissas!$B$5) + ($E345 * ($I345/$B345) * Premissas!$B$4 * 12), 0))</f>
        <v/>
      </c>
      <c r="AJ345" s="47" t="str">
        <f>IF($A345="", "", $AI345 * Premissas!$B$12)</f>
        <v/>
      </c>
      <c r="AK345" s="47" t="str">
        <f t="shared" si="13"/>
        <v/>
      </c>
      <c r="AL345" s="47"/>
      <c r="AM345" s="47"/>
    </row>
    <row r="346" ht="15.75" customHeight="1">
      <c r="K346" s="47" t="str">
        <f>IF($A346="", "", IFERROR($E346 * ($I346/$B346) * Premissas!$B$6, 0))</f>
        <v/>
      </c>
      <c r="L346" s="47" t="str">
        <f>IF($A346="", "", IFERROR(($E346 * Premissas!$B$4 * ($I346/$B346) + $E345 * Premissas!$B$5 * ($I345/$B345)) * Premissas!$B$7, 0))</f>
        <v/>
      </c>
      <c r="AI346" s="47" t="str">
        <f>IF($A346="", "", IFERROR(($I346 * Premissas!$B$5) + ($E346 * ($I346/$B346) * Premissas!$B$4 * 12), 0))</f>
        <v/>
      </c>
      <c r="AJ346" s="47" t="str">
        <f>IF($A346="", "", $AI346 * Premissas!$B$12)</f>
        <v/>
      </c>
      <c r="AK346" s="47" t="str">
        <f t="shared" si="13"/>
        <v/>
      </c>
      <c r="AL346" s="47"/>
      <c r="AM346" s="47"/>
    </row>
    <row r="347" ht="15.75" customHeight="1">
      <c r="K347" s="47" t="str">
        <f>IF($A347="", "", IFERROR($E347 * ($I347/$B347) * Premissas!$B$6, 0))</f>
        <v/>
      </c>
      <c r="L347" s="47" t="str">
        <f>IF($A347="", "", IFERROR(($E347 * Premissas!$B$4 * ($I347/$B347) + $E346 * Premissas!$B$5 * ($I346/$B346)) * Premissas!$B$7, 0))</f>
        <v/>
      </c>
      <c r="AI347" s="47" t="str">
        <f>IF($A347="", "", IFERROR(($I347 * Premissas!$B$5) + ($E347 * ($I347/$B347) * Premissas!$B$4 * 12), 0))</f>
        <v/>
      </c>
      <c r="AJ347" s="47" t="str">
        <f>IF($A347="", "", $AI347 * Premissas!$B$12)</f>
        <v/>
      </c>
      <c r="AK347" s="47" t="str">
        <f t="shared" si="13"/>
        <v/>
      </c>
      <c r="AL347" s="47"/>
      <c r="AM347" s="47"/>
    </row>
    <row r="348" ht="15.75" customHeight="1">
      <c r="K348" s="47" t="str">
        <f>IF($A348="", "", IFERROR($E348 * ($I348/$B348) * Premissas!$B$6, 0))</f>
        <v/>
      </c>
      <c r="L348" s="47" t="str">
        <f>IF($A348="", "", IFERROR(($E348 * Premissas!$B$4 * ($I348/$B348) + $E347 * Premissas!$B$5 * ($I347/$B347)) * Premissas!$B$7, 0))</f>
        <v/>
      </c>
      <c r="AI348" s="47" t="str">
        <f>IF($A348="", "", IFERROR(($I348 * Premissas!$B$5) + ($E348 * ($I348/$B348) * Premissas!$B$4 * 12), 0))</f>
        <v/>
      </c>
      <c r="AJ348" s="47" t="str">
        <f>IF($A348="", "", $AI348 * Premissas!$B$12)</f>
        <v/>
      </c>
      <c r="AK348" s="47" t="str">
        <f t="shared" si="13"/>
        <v/>
      </c>
      <c r="AL348" s="47"/>
      <c r="AM348" s="47"/>
    </row>
    <row r="349" ht="15.75" customHeight="1">
      <c r="K349" s="47" t="str">
        <f>IF($A349="", "", IFERROR($E349 * ($I349/$B349) * Premissas!$B$6, 0))</f>
        <v/>
      </c>
      <c r="L349" s="47" t="str">
        <f>IF($A349="", "", IFERROR(($E349 * Premissas!$B$4 * ($I349/$B349) + $E348 * Premissas!$B$5 * ($I348/$B348)) * Premissas!$B$7, 0))</f>
        <v/>
      </c>
      <c r="AI349" s="47" t="str">
        <f>IF($A349="", "", IFERROR(($I349 * Premissas!$B$5) + ($E349 * ($I349/$B349) * Premissas!$B$4 * 12), 0))</f>
        <v/>
      </c>
      <c r="AJ349" s="47" t="str">
        <f>IF($A349="", "", $AI349 * Premissas!$B$12)</f>
        <v/>
      </c>
      <c r="AK349" s="47" t="str">
        <f t="shared" si="13"/>
        <v/>
      </c>
      <c r="AL349" s="47"/>
      <c r="AM349" s="47"/>
    </row>
    <row r="350" ht="15.75" customHeight="1">
      <c r="K350" s="47" t="str">
        <f>IF($A350="", "", IFERROR($E350 * ($I350/$B350) * Premissas!$B$6, 0))</f>
        <v/>
      </c>
      <c r="L350" s="47" t="str">
        <f>IF($A350="", "", IFERROR(($E350 * Premissas!$B$4 * ($I350/$B350) + $E349 * Premissas!$B$5 * ($I349/$B349)) * Premissas!$B$7, 0))</f>
        <v/>
      </c>
      <c r="AI350" s="47" t="str">
        <f>IF($A350="", "", IFERROR(($I350 * Premissas!$B$5) + ($E350 * ($I350/$B350) * Premissas!$B$4 * 12), 0))</f>
        <v/>
      </c>
      <c r="AJ350" s="47" t="str">
        <f>IF($A350="", "", $AI350 * Premissas!$B$12)</f>
        <v/>
      </c>
      <c r="AK350" s="47" t="str">
        <f t="shared" si="13"/>
        <v/>
      </c>
      <c r="AL350" s="47"/>
      <c r="AM350" s="47"/>
    </row>
    <row r="351" ht="15.75" customHeight="1">
      <c r="K351" s="47" t="str">
        <f>IF($A351="", "", IFERROR($E351 * ($I351/$B351) * Premissas!$B$6, 0))</f>
        <v/>
      </c>
      <c r="L351" s="47" t="str">
        <f>IF($A351="", "", IFERROR(($E351 * Premissas!$B$4 * ($I351/$B351) + $E350 * Premissas!$B$5 * ($I350/$B350)) * Premissas!$B$7, 0))</f>
        <v/>
      </c>
      <c r="AI351" s="47" t="str">
        <f>IF($A351="", "", IFERROR(($I351 * Premissas!$B$5) + ($E351 * ($I351/$B351) * Premissas!$B$4 * 12), 0))</f>
        <v/>
      </c>
      <c r="AJ351" s="47" t="str">
        <f>IF($A351="", "", $AI351 * Premissas!$B$12)</f>
        <v/>
      </c>
      <c r="AK351" s="47" t="str">
        <f t="shared" si="13"/>
        <v/>
      </c>
      <c r="AL351" s="47"/>
      <c r="AM351" s="47"/>
    </row>
    <row r="352" ht="15.75" customHeight="1">
      <c r="K352" s="47" t="str">
        <f>IF($A352="", "", IFERROR($E352 * ($I352/$B352) * Premissas!$B$6, 0))</f>
        <v/>
      </c>
      <c r="L352" s="47" t="str">
        <f>IF($A352="", "", IFERROR(($E352 * Premissas!$B$4 * ($I352/$B352) + $E351 * Premissas!$B$5 * ($I351/$B351)) * Premissas!$B$7, 0))</f>
        <v/>
      </c>
      <c r="AI352" s="47" t="str">
        <f>IF($A352="", "", IFERROR(($I352 * Premissas!$B$5) + ($E352 * ($I352/$B352) * Premissas!$B$4 * 12), 0))</f>
        <v/>
      </c>
      <c r="AJ352" s="47" t="str">
        <f>IF($A352="", "", $AI352 * Premissas!$B$12)</f>
        <v/>
      </c>
      <c r="AK352" s="47" t="str">
        <f t="shared" si="13"/>
        <v/>
      </c>
      <c r="AL352" s="47"/>
      <c r="AM352" s="47"/>
    </row>
    <row r="353" ht="15.75" customHeight="1">
      <c r="K353" s="47" t="str">
        <f>IF($A353="", "", IFERROR($E353 * ($I353/$B353) * Premissas!$B$6, 0))</f>
        <v/>
      </c>
      <c r="L353" s="47" t="str">
        <f>IF($A353="", "", IFERROR(($E353 * Premissas!$B$4 * ($I353/$B353) + $E352 * Premissas!$B$5 * ($I352/$B352)) * Premissas!$B$7, 0))</f>
        <v/>
      </c>
      <c r="AI353" s="47" t="str">
        <f>IF($A353="", "", IFERROR(($I353 * Premissas!$B$5) + ($E353 * ($I353/$B353) * Premissas!$B$4 * 12), 0))</f>
        <v/>
      </c>
      <c r="AJ353" s="47" t="str">
        <f>IF($A353="", "", $AI353 * Premissas!$B$12)</f>
        <v/>
      </c>
      <c r="AK353" s="47" t="str">
        <f t="shared" si="13"/>
        <v/>
      </c>
      <c r="AL353" s="47"/>
      <c r="AM353" s="47"/>
    </row>
    <row r="354" ht="15.75" customHeight="1">
      <c r="K354" s="47" t="str">
        <f>IF($A354="", "", IFERROR($E354 * ($I354/$B354) * Premissas!$B$6, 0))</f>
        <v/>
      </c>
      <c r="L354" s="47" t="str">
        <f>IF($A354="", "", IFERROR(($E354 * Premissas!$B$4 * ($I354/$B354) + $E353 * Premissas!$B$5 * ($I353/$B353)) * Premissas!$B$7, 0))</f>
        <v/>
      </c>
      <c r="AI354" s="47" t="str">
        <f>IF($A354="", "", IFERROR(($I354 * Premissas!$B$5) + ($E354 * ($I354/$B354) * Premissas!$B$4 * 12), 0))</f>
        <v/>
      </c>
      <c r="AJ354" s="47" t="str">
        <f>IF($A354="", "", $AI354 * Premissas!$B$12)</f>
        <v/>
      </c>
      <c r="AK354" s="47" t="str">
        <f t="shared" si="13"/>
        <v/>
      </c>
      <c r="AL354" s="47"/>
      <c r="AM354" s="47"/>
    </row>
    <row r="355" ht="15.75" customHeight="1">
      <c r="K355" s="47" t="str">
        <f>IF($A355="", "", IFERROR($E355 * ($I355/$B355) * Premissas!$B$6, 0))</f>
        <v/>
      </c>
      <c r="L355" s="47" t="str">
        <f>IF($A355="", "", IFERROR(($E355 * Premissas!$B$4 * ($I355/$B355) + $E354 * Premissas!$B$5 * ($I354/$B354)) * Premissas!$B$7, 0))</f>
        <v/>
      </c>
      <c r="AI355" s="47" t="str">
        <f>IF($A355="", "", IFERROR(($I355 * Premissas!$B$5) + ($E355 * ($I355/$B355) * Premissas!$B$4 * 12), 0))</f>
        <v/>
      </c>
      <c r="AJ355" s="47" t="str">
        <f>IF($A355="", "", $AI355 * Premissas!$B$12)</f>
        <v/>
      </c>
      <c r="AK355" s="47" t="str">
        <f t="shared" si="13"/>
        <v/>
      </c>
      <c r="AL355" s="47"/>
      <c r="AM355" s="47"/>
    </row>
    <row r="356" ht="15.75" customHeight="1">
      <c r="K356" s="47" t="str">
        <f>IF($A356="", "", IFERROR($E356 * ($I356/$B356) * Premissas!$B$6, 0))</f>
        <v/>
      </c>
      <c r="L356" s="47" t="str">
        <f>IF($A356="", "", IFERROR(($E356 * Premissas!$B$4 * ($I356/$B356) + $E355 * Premissas!$B$5 * ($I355/$B355)) * Premissas!$B$7, 0))</f>
        <v/>
      </c>
      <c r="AI356" s="47" t="str">
        <f>IF($A356="", "", IFERROR(($I356 * Premissas!$B$5) + ($E356 * ($I356/$B356) * Premissas!$B$4 * 12), 0))</f>
        <v/>
      </c>
      <c r="AJ356" s="47" t="str">
        <f>IF($A356="", "", $AI356 * Premissas!$B$12)</f>
        <v/>
      </c>
      <c r="AK356" s="47" t="str">
        <f t="shared" si="13"/>
        <v/>
      </c>
      <c r="AL356" s="47"/>
      <c r="AM356" s="47"/>
    </row>
    <row r="357" ht="15.75" customHeight="1">
      <c r="K357" s="47" t="str">
        <f>IF($A357="", "", IFERROR($E357 * ($I357/$B357) * Premissas!$B$6, 0))</f>
        <v/>
      </c>
      <c r="L357" s="47" t="str">
        <f>IF($A357="", "", IFERROR(($E357 * Premissas!$B$4 * ($I357/$B357) + $E356 * Premissas!$B$5 * ($I356/$B356)) * Premissas!$B$7, 0))</f>
        <v/>
      </c>
      <c r="AI357" s="47" t="str">
        <f>IF($A357="", "", IFERROR(($I357 * Premissas!$B$5) + ($E357 * ($I357/$B357) * Premissas!$B$4 * 12), 0))</f>
        <v/>
      </c>
      <c r="AJ357" s="47" t="str">
        <f>IF($A357="", "", $AI357 * Premissas!$B$12)</f>
        <v/>
      </c>
      <c r="AK357" s="47" t="str">
        <f t="shared" si="13"/>
        <v/>
      </c>
      <c r="AL357" s="47"/>
      <c r="AM357" s="47"/>
    </row>
    <row r="358" ht="15.75" customHeight="1">
      <c r="K358" s="47" t="str">
        <f>IF($A358="", "", IFERROR($E358 * ($I358/$B358) * Premissas!$B$6, 0))</f>
        <v/>
      </c>
      <c r="L358" s="47" t="str">
        <f>IF($A358="", "", IFERROR(($E358 * Premissas!$B$4 * ($I358/$B358) + $E357 * Premissas!$B$5 * ($I357/$B357)) * Premissas!$B$7, 0))</f>
        <v/>
      </c>
      <c r="AI358" s="47" t="str">
        <f>IF($A358="", "", IFERROR(($I358 * Premissas!$B$5) + ($E358 * ($I358/$B358) * Premissas!$B$4 * 12), 0))</f>
        <v/>
      </c>
      <c r="AJ358" s="47" t="str">
        <f>IF($A358="", "", $AI358 * Premissas!$B$12)</f>
        <v/>
      </c>
      <c r="AK358" s="47" t="str">
        <f t="shared" si="13"/>
        <v/>
      </c>
      <c r="AL358" s="47"/>
      <c r="AM358" s="47"/>
    </row>
    <row r="359" ht="15.75" customHeight="1">
      <c r="K359" s="47" t="str">
        <f>IF($A359="", "", IFERROR($E359 * ($I359/$B359) * Premissas!$B$6, 0))</f>
        <v/>
      </c>
      <c r="L359" s="47" t="str">
        <f>IF($A359="", "", IFERROR(($E359 * Premissas!$B$4 * ($I359/$B359) + $E358 * Premissas!$B$5 * ($I358/$B358)) * Premissas!$B$7, 0))</f>
        <v/>
      </c>
      <c r="AI359" s="47" t="str">
        <f>IF($A359="", "", IFERROR(($I359 * Premissas!$B$5) + ($E359 * ($I359/$B359) * Premissas!$B$4 * 12), 0))</f>
        <v/>
      </c>
      <c r="AJ359" s="47" t="str">
        <f>IF($A359="", "", $AI359 * Premissas!$B$12)</f>
        <v/>
      </c>
      <c r="AK359" s="47" t="str">
        <f t="shared" si="13"/>
        <v/>
      </c>
      <c r="AL359" s="47"/>
      <c r="AM359" s="47"/>
    </row>
    <row r="360" ht="15.75" customHeight="1">
      <c r="K360" s="47" t="str">
        <f>IF($A360="", "", IFERROR($E360 * ($I360/$B360) * Premissas!$B$6, 0))</f>
        <v/>
      </c>
      <c r="L360" s="47" t="str">
        <f>IF($A360="", "", IFERROR(($E360 * Premissas!$B$4 * ($I360/$B360) + $E359 * Premissas!$B$5 * ($I359/$B359)) * Premissas!$B$7, 0))</f>
        <v/>
      </c>
      <c r="AI360" s="47" t="str">
        <f>IF($A360="", "", IFERROR(($I360 * Premissas!$B$5) + ($E360 * ($I360/$B360) * Premissas!$B$4 * 12), 0))</f>
        <v/>
      </c>
      <c r="AJ360" s="47" t="str">
        <f>IF($A360="", "", $AI360 * Premissas!$B$12)</f>
        <v/>
      </c>
      <c r="AK360" s="47" t="str">
        <f t="shared" si="13"/>
        <v/>
      </c>
      <c r="AL360" s="47"/>
      <c r="AM360" s="47"/>
    </row>
    <row r="361" ht="15.75" customHeight="1">
      <c r="K361" s="47" t="str">
        <f>IF($A361="", "", IFERROR($E361 * ($I361/$B361) * Premissas!$B$6, 0))</f>
        <v/>
      </c>
      <c r="L361" s="47" t="str">
        <f>IF($A361="", "", IFERROR(($E361 * Premissas!$B$4 * ($I361/$B361) + $E360 * Premissas!$B$5 * ($I360/$B360)) * Premissas!$B$7, 0))</f>
        <v/>
      </c>
      <c r="AI361" s="47" t="str">
        <f>IF($A361="", "", IFERROR(($I361 * Premissas!$B$5) + ($E361 * ($I361/$B361) * Premissas!$B$4 * 12), 0))</f>
        <v/>
      </c>
      <c r="AJ361" s="47" t="str">
        <f>IF($A361="", "", $AI361 * Premissas!$B$12)</f>
        <v/>
      </c>
      <c r="AK361" s="47" t="str">
        <f t="shared" si="13"/>
        <v/>
      </c>
      <c r="AL361" s="47"/>
      <c r="AM361" s="47"/>
    </row>
    <row r="362" ht="15.75" customHeight="1">
      <c r="K362" s="47" t="str">
        <f>IF($A362="", "", IFERROR($E362 * ($I362/$B362) * Premissas!$B$6, 0))</f>
        <v/>
      </c>
      <c r="L362" s="47" t="str">
        <f>IF($A362="", "", IFERROR(($E362 * Premissas!$B$4 * ($I362/$B362) + $E361 * Premissas!$B$5 * ($I361/$B361)) * Premissas!$B$7, 0))</f>
        <v/>
      </c>
      <c r="AI362" s="47" t="str">
        <f>IF($A362="", "", IFERROR(($I362 * Premissas!$B$5) + ($E362 * ($I362/$B362) * Premissas!$B$4 * 12), 0))</f>
        <v/>
      </c>
      <c r="AJ362" s="47" t="str">
        <f>IF($A362="", "", $AI362 * Premissas!$B$12)</f>
        <v/>
      </c>
      <c r="AK362" s="47" t="str">
        <f t="shared" si="13"/>
        <v/>
      </c>
      <c r="AL362" s="47"/>
      <c r="AM362" s="47"/>
    </row>
    <row r="363" ht="15.75" customHeight="1">
      <c r="K363" s="47" t="str">
        <f>IF($A363="", "", IFERROR($E363 * ($I363/$B363) * Premissas!$B$6, 0))</f>
        <v/>
      </c>
      <c r="L363" s="47" t="str">
        <f>IF($A363="", "", IFERROR(($E363 * Premissas!$B$4 * ($I363/$B363) + $E362 * Premissas!$B$5 * ($I362/$B362)) * Premissas!$B$7, 0))</f>
        <v/>
      </c>
      <c r="AI363" s="47" t="str">
        <f>IF($A363="", "", IFERROR(($I363 * Premissas!$B$5) + ($E363 * ($I363/$B363) * Premissas!$B$4 * 12), 0))</f>
        <v/>
      </c>
      <c r="AJ363" s="47" t="str">
        <f>IF($A363="", "", $AI363 * Premissas!$B$12)</f>
        <v/>
      </c>
      <c r="AK363" s="47" t="str">
        <f t="shared" si="13"/>
        <v/>
      </c>
      <c r="AL363" s="47"/>
      <c r="AM363" s="47"/>
    </row>
    <row r="364" ht="15.75" customHeight="1">
      <c r="K364" s="47" t="str">
        <f>IF($A364="", "", IFERROR($E364 * ($I364/$B364) * Premissas!$B$6, 0))</f>
        <v/>
      </c>
      <c r="L364" s="47" t="str">
        <f>IF($A364="", "", IFERROR(($E364 * Premissas!$B$4 * ($I364/$B364) + $E363 * Premissas!$B$5 * ($I363/$B363)) * Premissas!$B$7, 0))</f>
        <v/>
      </c>
      <c r="AI364" s="47" t="str">
        <f>IF($A364="", "", IFERROR(($I364 * Premissas!$B$5) + ($E364 * ($I364/$B364) * Premissas!$B$4 * 12), 0))</f>
        <v/>
      </c>
      <c r="AJ364" s="47" t="str">
        <f>IF($A364="", "", $AI364 * Premissas!$B$12)</f>
        <v/>
      </c>
      <c r="AK364" s="47" t="str">
        <f t="shared" si="13"/>
        <v/>
      </c>
      <c r="AL364" s="47"/>
      <c r="AM364" s="47"/>
    </row>
    <row r="365" ht="15.75" customHeight="1">
      <c r="K365" s="47" t="str">
        <f>IF($A365="", "", IFERROR($E365 * ($I365/$B365) * Premissas!$B$6, 0))</f>
        <v/>
      </c>
      <c r="L365" s="47" t="str">
        <f>IF($A365="", "", IFERROR(($E365 * Premissas!$B$4 * ($I365/$B365) + $E364 * Premissas!$B$5 * ($I364/$B364)) * Premissas!$B$7, 0))</f>
        <v/>
      </c>
      <c r="AI365" s="47" t="str">
        <f>IF($A365="", "", IFERROR(($I365 * Premissas!$B$5) + ($E365 * ($I365/$B365) * Premissas!$B$4 * 12), 0))</f>
        <v/>
      </c>
      <c r="AJ365" s="47" t="str">
        <f>IF($A365="", "", $AI365 * Premissas!$B$12)</f>
        <v/>
      </c>
      <c r="AK365" s="47" t="str">
        <f t="shared" si="13"/>
        <v/>
      </c>
      <c r="AL365" s="47"/>
      <c r="AM365" s="47"/>
    </row>
    <row r="366" ht="15.75" customHeight="1">
      <c r="K366" s="47" t="str">
        <f>IF($A366="", "", IFERROR($E366 * ($I366/$B366) * Premissas!$B$6, 0))</f>
        <v/>
      </c>
      <c r="L366" s="47" t="str">
        <f>IF($A366="", "", IFERROR(($E366 * Premissas!$B$4 * ($I366/$B366) + $E365 * Premissas!$B$5 * ($I365/$B365)) * Premissas!$B$7, 0))</f>
        <v/>
      </c>
      <c r="AI366" s="47" t="str">
        <f>IF($A366="", "", IFERROR(($I366 * Premissas!$B$5) + ($E366 * ($I366/$B366) * Premissas!$B$4 * 12), 0))</f>
        <v/>
      </c>
      <c r="AJ366" s="47" t="str">
        <f>IF($A366="", "", $AI366 * Premissas!$B$12)</f>
        <v/>
      </c>
      <c r="AK366" s="47" t="str">
        <f t="shared" si="13"/>
        <v/>
      </c>
      <c r="AL366" s="47"/>
      <c r="AM366" s="47"/>
    </row>
    <row r="367" ht="15.75" customHeight="1">
      <c r="K367" s="47" t="str">
        <f>IF($A367="", "", IFERROR($E367 * ($I367/$B367) * Premissas!$B$6, 0))</f>
        <v/>
      </c>
      <c r="L367" s="47" t="str">
        <f>IF($A367="", "", IFERROR(($E367 * Premissas!$B$4 * ($I367/$B367) + $E366 * Premissas!$B$5 * ($I366/$B366)) * Premissas!$B$7, 0))</f>
        <v/>
      </c>
      <c r="AI367" s="47" t="str">
        <f>IF($A367="", "", IFERROR(($I367 * Premissas!$B$5) + ($E367 * ($I367/$B367) * Premissas!$B$4 * 12), 0))</f>
        <v/>
      </c>
      <c r="AJ367" s="47" t="str">
        <f>IF($A367="", "", $AI367 * Premissas!$B$12)</f>
        <v/>
      </c>
      <c r="AK367" s="47" t="str">
        <f t="shared" si="13"/>
        <v/>
      </c>
      <c r="AL367" s="47"/>
      <c r="AM367" s="47"/>
    </row>
    <row r="368" ht="15.75" customHeight="1">
      <c r="K368" s="47" t="str">
        <f>IF($A368="", "", IFERROR($E368 * ($I368/$B368) * Premissas!$B$6, 0))</f>
        <v/>
      </c>
      <c r="L368" s="47" t="str">
        <f>IF($A368="", "", IFERROR(($E368 * Premissas!$B$4 * ($I368/$B368) + $E367 * Premissas!$B$5 * ($I367/$B367)) * Premissas!$B$7, 0))</f>
        <v/>
      </c>
      <c r="AI368" s="47" t="str">
        <f>IF($A368="", "", IFERROR(($I368 * Premissas!$B$5) + ($E368 * ($I368/$B368) * Premissas!$B$4 * 12), 0))</f>
        <v/>
      </c>
      <c r="AJ368" s="47" t="str">
        <f>IF($A368="", "", $AI368 * Premissas!$B$12)</f>
        <v/>
      </c>
      <c r="AK368" s="47" t="str">
        <f t="shared" si="13"/>
        <v/>
      </c>
      <c r="AL368" s="47"/>
      <c r="AM368" s="47"/>
    </row>
    <row r="369" ht="15.75" customHeight="1">
      <c r="K369" s="47" t="str">
        <f>IF($A369="", "", IFERROR($E369 * ($I369/$B369) * Premissas!$B$6, 0))</f>
        <v/>
      </c>
      <c r="L369" s="47" t="str">
        <f>IF($A369="", "", IFERROR(($E369 * Premissas!$B$4 * ($I369/$B369) + $E368 * Premissas!$B$5 * ($I368/$B368)) * Premissas!$B$7, 0))</f>
        <v/>
      </c>
      <c r="AI369" s="47" t="str">
        <f>IF($A369="", "", IFERROR(($I369 * Premissas!$B$5) + ($E369 * ($I369/$B369) * Premissas!$B$4 * 12), 0))</f>
        <v/>
      </c>
      <c r="AJ369" s="47" t="str">
        <f>IF($A369="", "", $AI369 * Premissas!$B$12)</f>
        <v/>
      </c>
      <c r="AK369" s="47" t="str">
        <f t="shared" si="13"/>
        <v/>
      </c>
      <c r="AL369" s="47"/>
      <c r="AM369" s="47"/>
    </row>
    <row r="370" ht="15.75" customHeight="1">
      <c r="K370" s="47" t="str">
        <f>IF($A370="", "", IFERROR($E370 * ($I370/$B370) * Premissas!$B$6, 0))</f>
        <v/>
      </c>
      <c r="L370" s="47" t="str">
        <f>IF($A370="", "", IFERROR(($E370 * Premissas!$B$4 * ($I370/$B370) + $E369 * Premissas!$B$5 * ($I369/$B369)) * Premissas!$B$7, 0))</f>
        <v/>
      </c>
      <c r="AI370" s="47" t="str">
        <f>IF($A370="", "", IFERROR(($I370 * Premissas!$B$5) + ($E370 * ($I370/$B370) * Premissas!$B$4 * 12), 0))</f>
        <v/>
      </c>
      <c r="AJ370" s="47" t="str">
        <f>IF($A370="", "", $AI370 * Premissas!$B$12)</f>
        <v/>
      </c>
      <c r="AK370" s="47" t="str">
        <f t="shared" si="13"/>
        <v/>
      </c>
      <c r="AL370" s="47"/>
      <c r="AM370" s="47"/>
    </row>
    <row r="371" ht="15.75" customHeight="1">
      <c r="K371" s="47" t="str">
        <f>IF($A371="", "", IFERROR($E371 * ($I371/$B371) * Premissas!$B$6, 0))</f>
        <v/>
      </c>
      <c r="L371" s="47" t="str">
        <f>IF($A371="", "", IFERROR(($E371 * Premissas!$B$4 * ($I371/$B371) + $E370 * Premissas!$B$5 * ($I370/$B370)) * Premissas!$B$7, 0))</f>
        <v/>
      </c>
      <c r="AI371" s="47" t="str">
        <f>IF($A371="", "", IFERROR(($I371 * Premissas!$B$5) + ($E371 * ($I371/$B371) * Premissas!$B$4 * 12), 0))</f>
        <v/>
      </c>
      <c r="AJ371" s="47" t="str">
        <f>IF($A371="", "", $AI371 * Premissas!$B$12)</f>
        <v/>
      </c>
      <c r="AK371" s="47" t="str">
        <f t="shared" si="13"/>
        <v/>
      </c>
      <c r="AL371" s="47"/>
      <c r="AM371" s="47"/>
    </row>
    <row r="372" ht="15.75" customHeight="1">
      <c r="K372" s="47" t="str">
        <f>IF($A372="", "", IFERROR($E372 * ($I372/$B372) * Premissas!$B$6, 0))</f>
        <v/>
      </c>
      <c r="L372" s="47" t="str">
        <f>IF($A372="", "", IFERROR(($E372 * Premissas!$B$4 * ($I372/$B372) + $E371 * Premissas!$B$5 * ($I371/$B371)) * Premissas!$B$7, 0))</f>
        <v/>
      </c>
      <c r="AI372" s="47" t="str">
        <f>IF($A372="", "", IFERROR(($I372 * Premissas!$B$5) + ($E372 * ($I372/$B372) * Premissas!$B$4 * 12), 0))</f>
        <v/>
      </c>
      <c r="AJ372" s="47" t="str">
        <f>IF($A372="", "", $AI372 * Premissas!$B$12)</f>
        <v/>
      </c>
      <c r="AK372" s="47" t="str">
        <f t="shared" si="13"/>
        <v/>
      </c>
      <c r="AL372" s="47"/>
      <c r="AM372" s="47"/>
    </row>
    <row r="373" ht="15.75" customHeight="1">
      <c r="K373" s="47" t="str">
        <f>IF($A373="", "", IFERROR($E373 * ($I373/$B373) * Premissas!$B$6, 0))</f>
        <v/>
      </c>
      <c r="L373" s="47" t="str">
        <f>IF($A373="", "", IFERROR(($E373 * Premissas!$B$4 * ($I373/$B373) + $E372 * Premissas!$B$5 * ($I372/$B372)) * Premissas!$B$7, 0))</f>
        <v/>
      </c>
      <c r="AI373" s="47" t="str">
        <f>IF($A373="", "", IFERROR(($I373 * Premissas!$B$5) + ($E373 * ($I373/$B373) * Premissas!$B$4 * 12), 0))</f>
        <v/>
      </c>
      <c r="AJ373" s="47" t="str">
        <f>IF($A373="", "", $AI373 * Premissas!$B$12)</f>
        <v/>
      </c>
      <c r="AK373" s="47" t="str">
        <f t="shared" si="13"/>
        <v/>
      </c>
      <c r="AL373" s="47"/>
      <c r="AM373" s="47"/>
    </row>
    <row r="374" ht="15.75" customHeight="1">
      <c r="K374" s="47" t="str">
        <f>IF($A374="", "", IFERROR($E374 * ($I374/$B374) * Premissas!$B$6, 0))</f>
        <v/>
      </c>
      <c r="L374" s="47" t="str">
        <f>IF($A374="", "", IFERROR(($E374 * Premissas!$B$4 * ($I374/$B374) + $E373 * Premissas!$B$5 * ($I373/$B373)) * Premissas!$B$7, 0))</f>
        <v/>
      </c>
      <c r="AI374" s="47" t="str">
        <f>IF($A374="", "", IFERROR(($I374 * Premissas!$B$5) + ($E374 * ($I374/$B374) * Premissas!$B$4 * 12), 0))</f>
        <v/>
      </c>
      <c r="AJ374" s="47" t="str">
        <f>IF($A374="", "", $AI374 * Premissas!$B$12)</f>
        <v/>
      </c>
      <c r="AK374" s="47" t="str">
        <f t="shared" si="13"/>
        <v/>
      </c>
      <c r="AL374" s="47"/>
      <c r="AM374" s="47"/>
    </row>
    <row r="375" ht="15.75" customHeight="1">
      <c r="K375" s="47" t="str">
        <f>IF($A375="", "", IFERROR($E375 * ($I375/$B375) * Premissas!$B$6, 0))</f>
        <v/>
      </c>
      <c r="L375" s="47" t="str">
        <f>IF($A375="", "", IFERROR(($E375 * Premissas!$B$4 * ($I375/$B375) + $E374 * Premissas!$B$5 * ($I374/$B374)) * Premissas!$B$7, 0))</f>
        <v/>
      </c>
      <c r="AI375" s="47" t="str">
        <f>IF($A375="", "", IFERROR(($I375 * Premissas!$B$5) + ($E375 * ($I375/$B375) * Premissas!$B$4 * 12), 0))</f>
        <v/>
      </c>
      <c r="AJ375" s="47" t="str">
        <f>IF($A375="", "", $AI375 * Premissas!$B$12)</f>
        <v/>
      </c>
      <c r="AK375" s="47" t="str">
        <f t="shared" si="13"/>
        <v/>
      </c>
      <c r="AL375" s="47"/>
      <c r="AM375" s="47"/>
    </row>
    <row r="376" ht="15.75" customHeight="1">
      <c r="K376" s="47" t="str">
        <f>IF($A376="", "", IFERROR($E376 * ($I376/$B376) * Premissas!$B$6, 0))</f>
        <v/>
      </c>
      <c r="L376" s="47" t="str">
        <f>IF($A376="", "", IFERROR(($E376 * Premissas!$B$4 * ($I376/$B376) + $E375 * Premissas!$B$5 * ($I375/$B375)) * Premissas!$B$7, 0))</f>
        <v/>
      </c>
      <c r="AI376" s="47" t="str">
        <f>IF($A376="", "", IFERROR(($I376 * Premissas!$B$5) + ($E376 * ($I376/$B376) * Premissas!$B$4 * 12), 0))</f>
        <v/>
      </c>
      <c r="AJ376" s="47" t="str">
        <f>IF($A376="", "", $AI376 * Premissas!$B$12)</f>
        <v/>
      </c>
      <c r="AK376" s="47" t="str">
        <f t="shared" si="13"/>
        <v/>
      </c>
      <c r="AL376" s="47"/>
      <c r="AM376" s="47"/>
    </row>
    <row r="377" ht="15.75" customHeight="1">
      <c r="K377" s="47" t="str">
        <f>IF($A377="", "", IFERROR($E377 * ($I377/$B377) * Premissas!$B$6, 0))</f>
        <v/>
      </c>
      <c r="L377" s="47" t="str">
        <f>IF($A377="", "", IFERROR(($E377 * Premissas!$B$4 * ($I377/$B377) + $E376 * Premissas!$B$5 * ($I376/$B376)) * Premissas!$B$7, 0))</f>
        <v/>
      </c>
      <c r="AI377" s="47" t="str">
        <f>IF($A377="", "", IFERROR(($I377 * Premissas!$B$5) + ($E377 * ($I377/$B377) * Premissas!$B$4 * 12), 0))</f>
        <v/>
      </c>
      <c r="AJ377" s="47" t="str">
        <f>IF($A377="", "", $AI377 * Premissas!$B$12)</f>
        <v/>
      </c>
      <c r="AK377" s="47" t="str">
        <f t="shared" si="13"/>
        <v/>
      </c>
      <c r="AL377" s="47"/>
      <c r="AM377" s="47"/>
    </row>
    <row r="378" ht="15.75" customHeight="1">
      <c r="K378" s="47" t="str">
        <f>IF($A378="", "", IFERROR($E378 * ($I378/$B378) * Premissas!$B$6, 0))</f>
        <v/>
      </c>
      <c r="L378" s="47" t="str">
        <f>IF($A378="", "", IFERROR(($E378 * Premissas!$B$4 * ($I378/$B378) + $E377 * Premissas!$B$5 * ($I377/$B377)) * Premissas!$B$7, 0))</f>
        <v/>
      </c>
      <c r="AI378" s="47" t="str">
        <f>IF($A378="", "", IFERROR(($I378 * Premissas!$B$5) + ($E378 * ($I378/$B378) * Premissas!$B$4 * 12), 0))</f>
        <v/>
      </c>
      <c r="AJ378" s="47" t="str">
        <f>IF($A378="", "", $AI378 * Premissas!$B$12)</f>
        <v/>
      </c>
      <c r="AK378" s="47" t="str">
        <f t="shared" si="13"/>
        <v/>
      </c>
      <c r="AL378" s="47"/>
      <c r="AM378" s="47"/>
    </row>
    <row r="379" ht="15.75" customHeight="1">
      <c r="K379" s="47" t="str">
        <f>IF($A379="", "", IFERROR($E379 * ($I379/$B379) * Premissas!$B$6, 0))</f>
        <v/>
      </c>
      <c r="L379" s="47" t="str">
        <f>IF($A379="", "", IFERROR(($E379 * Premissas!$B$4 * ($I379/$B379) + $E378 * Premissas!$B$5 * ($I378/$B378)) * Premissas!$B$7, 0))</f>
        <v/>
      </c>
      <c r="AI379" s="47" t="str">
        <f>IF($A379="", "", IFERROR(($I379 * Premissas!$B$5) + ($E379 * ($I379/$B379) * Premissas!$B$4 * 12), 0))</f>
        <v/>
      </c>
      <c r="AJ379" s="47" t="str">
        <f>IF($A379="", "", $AI379 * Premissas!$B$12)</f>
        <v/>
      </c>
      <c r="AK379" s="47" t="str">
        <f t="shared" si="13"/>
        <v/>
      </c>
      <c r="AL379" s="47"/>
      <c r="AM379" s="47"/>
    </row>
    <row r="380" ht="15.75" customHeight="1">
      <c r="K380" s="47" t="str">
        <f>IF($A380="", "", IFERROR($E380 * ($I380/$B380) * Premissas!$B$6, 0))</f>
        <v/>
      </c>
      <c r="L380" s="47" t="str">
        <f>IF($A380="", "", IFERROR(($E380 * Premissas!$B$4 * ($I380/$B380) + $E379 * Premissas!$B$5 * ($I379/$B379)) * Premissas!$B$7, 0))</f>
        <v/>
      </c>
      <c r="AI380" s="47" t="str">
        <f>IF($A380="", "", IFERROR(($I380 * Premissas!$B$5) + ($E380 * ($I380/$B380) * Premissas!$B$4 * 12), 0))</f>
        <v/>
      </c>
      <c r="AJ380" s="47" t="str">
        <f>IF($A380="", "", $AI380 * Premissas!$B$12)</f>
        <v/>
      </c>
      <c r="AK380" s="47" t="str">
        <f t="shared" si="13"/>
        <v/>
      </c>
      <c r="AL380" s="47"/>
      <c r="AM380" s="47"/>
    </row>
    <row r="381" ht="15.75" customHeight="1">
      <c r="K381" s="47" t="str">
        <f>IF($A381="", "", IFERROR($E381 * ($I381/$B381) * Premissas!$B$6, 0))</f>
        <v/>
      </c>
      <c r="L381" s="47" t="str">
        <f>IF($A381="", "", IFERROR(($E381 * Premissas!$B$4 * ($I381/$B381) + $E380 * Premissas!$B$5 * ($I380/$B380)) * Premissas!$B$7, 0))</f>
        <v/>
      </c>
      <c r="AI381" s="47" t="str">
        <f>IF($A381="", "", IFERROR(($I381 * Premissas!$B$5) + ($E381 * ($I381/$B381) * Premissas!$B$4 * 12), 0))</f>
        <v/>
      </c>
      <c r="AJ381" s="47" t="str">
        <f>IF($A381="", "", $AI381 * Premissas!$B$12)</f>
        <v/>
      </c>
      <c r="AK381" s="47" t="str">
        <f t="shared" si="13"/>
        <v/>
      </c>
      <c r="AL381" s="47"/>
      <c r="AM381" s="47"/>
    </row>
    <row r="382" ht="15.75" customHeight="1">
      <c r="K382" s="47" t="str">
        <f>IF($A382="", "", IFERROR($E382 * ($I382/$B382) * Premissas!$B$6, 0))</f>
        <v/>
      </c>
      <c r="L382" s="47" t="str">
        <f>IF($A382="", "", IFERROR(($E382 * Premissas!$B$4 * ($I382/$B382) + $E381 * Premissas!$B$5 * ($I381/$B381)) * Premissas!$B$7, 0))</f>
        <v/>
      </c>
      <c r="AI382" s="47" t="str">
        <f>IF($A382="", "", IFERROR(($I382 * Premissas!$B$5) + ($E382 * ($I382/$B382) * Premissas!$B$4 * 12), 0))</f>
        <v/>
      </c>
      <c r="AJ382" s="47" t="str">
        <f>IF($A382="", "", $AI382 * Premissas!$B$12)</f>
        <v/>
      </c>
      <c r="AK382" s="47" t="str">
        <f t="shared" si="13"/>
        <v/>
      </c>
      <c r="AL382" s="47"/>
      <c r="AM382" s="47"/>
    </row>
    <row r="383" ht="15.75" customHeight="1">
      <c r="K383" s="47" t="str">
        <f>IF($A383="", "", IFERROR($E383 * ($I383/$B383) * Premissas!$B$6, 0))</f>
        <v/>
      </c>
      <c r="L383" s="47" t="str">
        <f>IF($A383="", "", IFERROR(($E383 * Premissas!$B$4 * ($I383/$B383) + $E382 * Premissas!$B$5 * ($I382/$B382)) * Premissas!$B$7, 0))</f>
        <v/>
      </c>
      <c r="AI383" s="47" t="str">
        <f>IF($A383="", "", IFERROR(($I383 * Premissas!$B$5) + ($E383 * ($I383/$B383) * Premissas!$B$4 * 12), 0))</f>
        <v/>
      </c>
      <c r="AJ383" s="47" t="str">
        <f>IF($A383="", "", $AI383 * Premissas!$B$12)</f>
        <v/>
      </c>
      <c r="AK383" s="47" t="str">
        <f t="shared" si="13"/>
        <v/>
      </c>
      <c r="AL383" s="47"/>
      <c r="AM383" s="47"/>
    </row>
    <row r="384" ht="15.75" customHeight="1">
      <c r="K384" s="47" t="str">
        <f>IF($A384="", "", IFERROR($E384 * ($I384/$B384) * Premissas!$B$6, 0))</f>
        <v/>
      </c>
      <c r="L384" s="47" t="str">
        <f>IF($A384="", "", IFERROR(($E384 * Premissas!$B$4 * ($I384/$B384) + $E383 * Premissas!$B$5 * ($I383/$B383)) * Premissas!$B$7, 0))</f>
        <v/>
      </c>
      <c r="AI384" s="47" t="str">
        <f>IF($A384="", "", IFERROR(($I384 * Premissas!$B$5) + ($E384 * ($I384/$B384) * Premissas!$B$4 * 12), 0))</f>
        <v/>
      </c>
      <c r="AJ384" s="47" t="str">
        <f>IF($A384="", "", $AI384 * Premissas!$B$12)</f>
        <v/>
      </c>
      <c r="AK384" s="47" t="str">
        <f t="shared" si="13"/>
        <v/>
      </c>
      <c r="AL384" s="47"/>
      <c r="AM384" s="47"/>
    </row>
    <row r="385" ht="15.75" customHeight="1">
      <c r="K385" s="47" t="str">
        <f>IF($A385="", "", IFERROR($E385 * ($I385/$B385) * Premissas!$B$6, 0))</f>
        <v/>
      </c>
      <c r="L385" s="47" t="str">
        <f>IF($A385="", "", IFERROR(($E385 * Premissas!$B$4 * ($I385/$B385) + $E384 * Premissas!$B$5 * ($I384/$B384)) * Premissas!$B$7, 0))</f>
        <v/>
      </c>
      <c r="AI385" s="47" t="str">
        <f>IF($A385="", "", IFERROR(($I385 * Premissas!$B$5) + ($E385 * ($I385/$B385) * Premissas!$B$4 * 12), 0))</f>
        <v/>
      </c>
      <c r="AJ385" s="47" t="str">
        <f>IF($A385="", "", $AI385 * Premissas!$B$12)</f>
        <v/>
      </c>
      <c r="AK385" s="47" t="str">
        <f t="shared" si="13"/>
        <v/>
      </c>
      <c r="AL385" s="47"/>
      <c r="AM385" s="47"/>
    </row>
    <row r="386" ht="15.75" customHeight="1">
      <c r="K386" s="47" t="str">
        <f>IF($A386="", "", IFERROR($E386 * ($I386/$B386) * Premissas!$B$6, 0))</f>
        <v/>
      </c>
      <c r="L386" s="47" t="str">
        <f>IF($A386="", "", IFERROR(($E386 * Premissas!$B$4 * ($I386/$B386) + $E385 * Premissas!$B$5 * ($I385/$B385)) * Premissas!$B$7, 0))</f>
        <v/>
      </c>
      <c r="AI386" s="47" t="str">
        <f>IF($A386="", "", IFERROR(($I386 * Premissas!$B$5) + ($E386 * ($I386/$B386) * Premissas!$B$4 * 12), 0))</f>
        <v/>
      </c>
      <c r="AJ386" s="47" t="str">
        <f>IF($A386="", "", $AI386 * Premissas!$B$12)</f>
        <v/>
      </c>
      <c r="AK386" s="47" t="str">
        <f t="shared" si="13"/>
        <v/>
      </c>
      <c r="AL386" s="47"/>
      <c r="AM386" s="47"/>
    </row>
    <row r="387" ht="15.75" customHeight="1">
      <c r="K387" s="47" t="str">
        <f>IF($A387="", "", IFERROR($E387 * ($I387/$B387) * Premissas!$B$6, 0))</f>
        <v/>
      </c>
      <c r="L387" s="47" t="str">
        <f>IF($A387="", "", IFERROR(($E387 * Premissas!$B$4 * ($I387/$B387) + $E386 * Premissas!$B$5 * ($I386/$B386)) * Premissas!$B$7, 0))</f>
        <v/>
      </c>
      <c r="AI387" s="47" t="str">
        <f>IF($A387="", "", IFERROR(($I387 * Premissas!$B$5) + ($E387 * ($I387/$B387) * Premissas!$B$4 * 12), 0))</f>
        <v/>
      </c>
      <c r="AJ387" s="47" t="str">
        <f>IF($A387="", "", $AI387 * Premissas!$B$12)</f>
        <v/>
      </c>
      <c r="AK387" s="47" t="str">
        <f t="shared" si="13"/>
        <v/>
      </c>
      <c r="AL387" s="47"/>
      <c r="AM387" s="47"/>
    </row>
    <row r="388" ht="15.75" customHeight="1">
      <c r="K388" s="47" t="str">
        <f>IF($A388="", "", IFERROR($E388 * ($I388/$B388) * Premissas!$B$6, 0))</f>
        <v/>
      </c>
      <c r="L388" s="47" t="str">
        <f>IF($A388="", "", IFERROR(($E388 * Premissas!$B$4 * ($I388/$B388) + $E387 * Premissas!$B$5 * ($I387/$B387)) * Premissas!$B$7, 0))</f>
        <v/>
      </c>
      <c r="AI388" s="47" t="str">
        <f>IF($A388="", "", IFERROR(($I388 * Premissas!$B$5) + ($E388 * ($I388/$B388) * Premissas!$B$4 * 12), 0))</f>
        <v/>
      </c>
      <c r="AJ388" s="47" t="str">
        <f>IF($A388="", "", $AI388 * Premissas!$B$12)</f>
        <v/>
      </c>
      <c r="AK388" s="47" t="str">
        <f t="shared" si="13"/>
        <v/>
      </c>
      <c r="AL388" s="47"/>
      <c r="AM388" s="47"/>
    </row>
    <row r="389" ht="15.75" customHeight="1">
      <c r="K389" s="47" t="str">
        <f>IF($A389="", "", IFERROR($E389 * ($I389/$B389) * Premissas!$B$6, 0))</f>
        <v/>
      </c>
      <c r="L389" s="47" t="str">
        <f>IF($A389="", "", IFERROR(($E389 * Premissas!$B$4 * ($I389/$B389) + $E388 * Premissas!$B$5 * ($I388/$B388)) * Premissas!$B$7, 0))</f>
        <v/>
      </c>
      <c r="AI389" s="47" t="str">
        <f>IF($A389="", "", IFERROR(($I389 * Premissas!$B$5) + ($E389 * ($I389/$B389) * Premissas!$B$4 * 12), 0))</f>
        <v/>
      </c>
      <c r="AJ389" s="47" t="str">
        <f>IF($A389="", "", $AI389 * Premissas!$B$12)</f>
        <v/>
      </c>
      <c r="AK389" s="47" t="str">
        <f t="shared" si="13"/>
        <v/>
      </c>
      <c r="AL389" s="47"/>
      <c r="AM389" s="47"/>
    </row>
    <row r="390" ht="15.75" customHeight="1">
      <c r="K390" s="47" t="str">
        <f>IF($A390="", "", IFERROR($E390 * ($I390/$B390) * Premissas!$B$6, 0))</f>
        <v/>
      </c>
      <c r="L390" s="47" t="str">
        <f>IF($A390="", "", IFERROR(($E390 * Premissas!$B$4 * ($I390/$B390) + $E389 * Premissas!$B$5 * ($I389/$B389)) * Premissas!$B$7, 0))</f>
        <v/>
      </c>
      <c r="AI390" s="47" t="str">
        <f>IF($A390="", "", IFERROR(($I390 * Premissas!$B$5) + ($E390 * ($I390/$B390) * Premissas!$B$4 * 12), 0))</f>
        <v/>
      </c>
      <c r="AJ390" s="47" t="str">
        <f>IF($A390="", "", $AI390 * Premissas!$B$12)</f>
        <v/>
      </c>
      <c r="AK390" s="47" t="str">
        <f t="shared" si="13"/>
        <v/>
      </c>
      <c r="AL390" s="47"/>
      <c r="AM390" s="47"/>
    </row>
    <row r="391" ht="15.75" customHeight="1">
      <c r="K391" s="47" t="str">
        <f>IF($A391="", "", IFERROR($E391 * ($I391/$B391) * Premissas!$B$6, 0))</f>
        <v/>
      </c>
      <c r="L391" s="47" t="str">
        <f>IF($A391="", "", IFERROR(($E391 * Premissas!$B$4 * ($I391/$B391) + $E390 * Premissas!$B$5 * ($I390/$B390)) * Premissas!$B$7, 0))</f>
        <v/>
      </c>
      <c r="AI391" s="47" t="str">
        <f>IF($A391="", "", IFERROR(($I391 * Premissas!$B$5) + ($E391 * ($I391/$B391) * Premissas!$B$4 * 12), 0))</f>
        <v/>
      </c>
      <c r="AJ391" s="47" t="str">
        <f>IF($A391="", "", $AI391 * Premissas!$B$12)</f>
        <v/>
      </c>
      <c r="AK391" s="47" t="str">
        <f t="shared" si="13"/>
        <v/>
      </c>
      <c r="AL391" s="47"/>
      <c r="AM391" s="47"/>
    </row>
    <row r="392" ht="15.75" customHeight="1">
      <c r="K392" s="47" t="str">
        <f>IF($A392="", "", IFERROR($E392 * ($I392/$B392) * Premissas!$B$6, 0))</f>
        <v/>
      </c>
      <c r="L392" s="47" t="str">
        <f>IF($A392="", "", IFERROR(($E392 * Premissas!$B$4 * ($I392/$B392) + $E391 * Premissas!$B$5 * ($I391/$B391)) * Premissas!$B$7, 0))</f>
        <v/>
      </c>
      <c r="AI392" s="47" t="str">
        <f>IF($A392="", "", IFERROR(($I392 * Premissas!$B$5) + ($E392 * ($I392/$B392) * Premissas!$B$4 * 12), 0))</f>
        <v/>
      </c>
      <c r="AJ392" s="47" t="str">
        <f>IF($A392="", "", $AI392 * Premissas!$B$12)</f>
        <v/>
      </c>
      <c r="AK392" s="47" t="str">
        <f t="shared" si="13"/>
        <v/>
      </c>
      <c r="AL392" s="47"/>
      <c r="AM392" s="47"/>
    </row>
    <row r="393" ht="15.75" customHeight="1">
      <c r="K393" s="47" t="str">
        <f>IF($A393="", "", IFERROR($E393 * ($I393/$B393) * Premissas!$B$6, 0))</f>
        <v/>
      </c>
      <c r="L393" s="47" t="str">
        <f>IF($A393="", "", IFERROR(($E393 * Premissas!$B$4 * ($I393/$B393) + $E392 * Premissas!$B$5 * ($I392/$B392)) * Premissas!$B$7, 0))</f>
        <v/>
      </c>
      <c r="AI393" s="47" t="str">
        <f>IF($A393="", "", IFERROR(($I393 * Premissas!$B$5) + ($E393 * ($I393/$B393) * Premissas!$B$4 * 12), 0))</f>
        <v/>
      </c>
      <c r="AJ393" s="47" t="str">
        <f>IF($A393="", "", $AI393 * Premissas!$B$12)</f>
        <v/>
      </c>
      <c r="AK393" s="47" t="str">
        <f t="shared" si="13"/>
        <v/>
      </c>
      <c r="AL393" s="47"/>
      <c r="AM393" s="47"/>
    </row>
    <row r="394" ht="15.75" customHeight="1">
      <c r="K394" s="47" t="str">
        <f>IF($A394="", "", IFERROR($E394 * ($I394/$B394) * Premissas!$B$6, 0))</f>
        <v/>
      </c>
      <c r="L394" s="47" t="str">
        <f>IF($A394="", "", IFERROR(($E394 * Premissas!$B$4 * ($I394/$B394) + $E393 * Premissas!$B$5 * ($I393/$B393)) * Premissas!$B$7, 0))</f>
        <v/>
      </c>
      <c r="AI394" s="47" t="str">
        <f>IF($A394="", "", IFERROR(($I394 * Premissas!$B$5) + ($E394 * ($I394/$B394) * Premissas!$B$4 * 12), 0))</f>
        <v/>
      </c>
      <c r="AJ394" s="47" t="str">
        <f>IF($A394="", "", $AI394 * Premissas!$B$12)</f>
        <v/>
      </c>
      <c r="AK394" s="47" t="str">
        <f t="shared" si="13"/>
        <v/>
      </c>
      <c r="AL394" s="47"/>
      <c r="AM394" s="47"/>
    </row>
    <row r="395" ht="15.75" customHeight="1">
      <c r="K395" s="47" t="str">
        <f>IF($A395="", "", IFERROR($E395 * ($I395/$B395) * Premissas!$B$6, 0))</f>
        <v/>
      </c>
      <c r="L395" s="47" t="str">
        <f>IF($A395="", "", IFERROR(($E395 * Premissas!$B$4 * ($I395/$B395) + $E394 * Premissas!$B$5 * ($I394/$B394)) * Premissas!$B$7, 0))</f>
        <v/>
      </c>
      <c r="AI395" s="47" t="str">
        <f>IF($A395="", "", IFERROR(($I395 * Premissas!$B$5) + ($E395 * ($I395/$B395) * Premissas!$B$4 * 12), 0))</f>
        <v/>
      </c>
      <c r="AJ395" s="47" t="str">
        <f>IF($A395="", "", $AI395 * Premissas!$B$12)</f>
        <v/>
      </c>
      <c r="AK395" s="47" t="str">
        <f t="shared" si="13"/>
        <v/>
      </c>
      <c r="AL395" s="47"/>
      <c r="AM395" s="47"/>
    </row>
    <row r="396" ht="15.75" customHeight="1">
      <c r="K396" s="47" t="str">
        <f>IF($A396="", "", IFERROR($E396 * ($I396/$B396) * Premissas!$B$6, 0))</f>
        <v/>
      </c>
      <c r="L396" s="47" t="str">
        <f>IF($A396="", "", IFERROR(($E396 * Premissas!$B$4 * ($I396/$B396) + $E395 * Premissas!$B$5 * ($I395/$B395)) * Premissas!$B$7, 0))</f>
        <v/>
      </c>
      <c r="AI396" s="47" t="str">
        <f>IF($A396="", "", IFERROR(($I396 * Premissas!$B$5) + ($E396 * ($I396/$B396) * Premissas!$B$4 * 12), 0))</f>
        <v/>
      </c>
      <c r="AJ396" s="47" t="str">
        <f>IF($A396="", "", $AI396 * Premissas!$B$12)</f>
        <v/>
      </c>
      <c r="AK396" s="47" t="str">
        <f t="shared" si="13"/>
        <v/>
      </c>
      <c r="AL396" s="47"/>
      <c r="AM396" s="47"/>
    </row>
    <row r="397" ht="15.75" customHeight="1">
      <c r="K397" s="47" t="str">
        <f>IF($A397="", "", IFERROR($E397 * ($I397/$B397) * Premissas!$B$6, 0))</f>
        <v/>
      </c>
      <c r="L397" s="47" t="str">
        <f>IF($A397="", "", IFERROR(($E397 * Premissas!$B$4 * ($I397/$B397) + $E396 * Premissas!$B$5 * ($I396/$B396)) * Premissas!$B$7, 0))</f>
        <v/>
      </c>
      <c r="AI397" s="47" t="str">
        <f>IF($A397="", "", IFERROR(($I397 * Premissas!$B$5) + ($E397 * ($I397/$B397) * Premissas!$B$4 * 12), 0))</f>
        <v/>
      </c>
      <c r="AJ397" s="47" t="str">
        <f>IF($A397="", "", $AI397 * Premissas!$B$12)</f>
        <v/>
      </c>
      <c r="AK397" s="47" t="str">
        <f t="shared" si="13"/>
        <v/>
      </c>
      <c r="AL397" s="47"/>
      <c r="AM397" s="47"/>
    </row>
    <row r="398" ht="15.75" customHeight="1">
      <c r="K398" s="47" t="str">
        <f>IF($A398="", "", IFERROR($E398 * ($I398/$B398) * Premissas!$B$6, 0))</f>
        <v/>
      </c>
      <c r="L398" s="47" t="str">
        <f>IF($A398="", "", IFERROR(($E398 * Premissas!$B$4 * ($I398/$B398) + $E397 * Premissas!$B$5 * ($I397/$B397)) * Premissas!$B$7, 0))</f>
        <v/>
      </c>
      <c r="AI398" s="47" t="str">
        <f>IF($A398="", "", IFERROR(($I398 * Premissas!$B$5) + ($E398 * ($I398/$B398) * Premissas!$B$4 * 12), 0))</f>
        <v/>
      </c>
      <c r="AJ398" s="47" t="str">
        <f>IF($A398="", "", $AI398 * Premissas!$B$12)</f>
        <v/>
      </c>
      <c r="AK398" s="47" t="str">
        <f t="shared" si="13"/>
        <v/>
      </c>
      <c r="AL398" s="47"/>
      <c r="AM398" s="47"/>
    </row>
    <row r="399" ht="15.75" customHeight="1">
      <c r="K399" s="47" t="str">
        <f>IF($A399="", "", IFERROR($E399 * ($I399/$B399) * Premissas!$B$6, 0))</f>
        <v/>
      </c>
      <c r="L399" s="47" t="str">
        <f>IF($A399="", "", IFERROR(($E399 * Premissas!$B$4 * ($I399/$B399) + $E398 * Premissas!$B$5 * ($I398/$B398)) * Premissas!$B$7, 0))</f>
        <v/>
      </c>
      <c r="AI399" s="47" t="str">
        <f>IF($A399="", "", IFERROR(($I399 * Premissas!$B$5) + ($E399 * ($I399/$B399) * Premissas!$B$4 * 12), 0))</f>
        <v/>
      </c>
      <c r="AJ399" s="47" t="str">
        <f>IF($A399="", "", $AI399 * Premissas!$B$12)</f>
        <v/>
      </c>
      <c r="AK399" s="47" t="str">
        <f t="shared" si="13"/>
        <v/>
      </c>
      <c r="AL399" s="47"/>
      <c r="AM399" s="47"/>
    </row>
    <row r="400" ht="15.75" customHeight="1">
      <c r="K400" s="47" t="str">
        <f>IF($A400="", "", IFERROR($E400 * ($I400/$B400) * Premissas!$B$6, 0))</f>
        <v/>
      </c>
      <c r="L400" s="47" t="str">
        <f>IF($A400="", "", IFERROR(($E400 * Premissas!$B$4 * ($I400/$B400) + $E399 * Premissas!$B$5 * ($I399/$B399)) * Premissas!$B$7, 0))</f>
        <v/>
      </c>
      <c r="AI400" s="47" t="str">
        <f>IF($A400="", "", IFERROR(($I400 * Premissas!$B$5) + ($E400 * ($I400/$B400) * Premissas!$B$4 * 12), 0))</f>
        <v/>
      </c>
      <c r="AJ400" s="47" t="str">
        <f>IF($A400="", "", $AI400 * Premissas!$B$12)</f>
        <v/>
      </c>
      <c r="AK400" s="47" t="str">
        <f t="shared" si="13"/>
        <v/>
      </c>
      <c r="AL400" s="47"/>
      <c r="AM400" s="47"/>
    </row>
    <row r="401" ht="15.75" customHeight="1">
      <c r="K401" s="47" t="str">
        <f>IF($A401="", "", IFERROR($E401 * ($I401/$B401) * Premissas!$B$6, 0))</f>
        <v/>
      </c>
      <c r="L401" s="47" t="str">
        <f>IF($A401="", "", IFERROR(($E401 * Premissas!$B$4 * ($I401/$B401) + $E400 * Premissas!$B$5 * ($I400/$B400)) * Premissas!$B$7, 0))</f>
        <v/>
      </c>
      <c r="AI401" s="47" t="str">
        <f>IF($A401="", "", IFERROR(($I401 * Premissas!$B$5) + ($E401 * ($I401/$B401) * Premissas!$B$4 * 12), 0))</f>
        <v/>
      </c>
      <c r="AJ401" s="47" t="str">
        <f>IF($A401="", "", $AI401 * Premissas!$B$12)</f>
        <v/>
      </c>
      <c r="AK401" s="47" t="str">
        <f t="shared" si="13"/>
        <v/>
      </c>
      <c r="AL401" s="47"/>
      <c r="AM401" s="47"/>
    </row>
    <row r="402" ht="15.75" customHeight="1">
      <c r="K402" s="47" t="str">
        <f>IF($A402="", "", IFERROR($E402 * ($I402/$B402) * Premissas!$B$6, 0))</f>
        <v/>
      </c>
      <c r="L402" s="47" t="str">
        <f>IF($A402="", "", IFERROR(($E402 * Premissas!$B$4 * ($I402/$B402) + $E401 * Premissas!$B$5 * ($I401/$B401)) * Premissas!$B$7, 0))</f>
        <v/>
      </c>
      <c r="AI402" s="47" t="str">
        <f>IF($A402="", "", IFERROR(($I402 * Premissas!$B$5) + ($E402 * ($I402/$B402) * Premissas!$B$4 * 12), 0))</f>
        <v/>
      </c>
      <c r="AJ402" s="47" t="str">
        <f>IF($A402="", "", $AI402 * Premissas!$B$12)</f>
        <v/>
      </c>
      <c r="AK402" s="47" t="str">
        <f t="shared" si="13"/>
        <v/>
      </c>
      <c r="AL402" s="47"/>
      <c r="AM402" s="47"/>
    </row>
    <row r="403" ht="15.75" customHeight="1">
      <c r="K403" s="47" t="str">
        <f>IF($A403="", "", IFERROR($E403 * ($I403/$B403) * Premissas!$B$6, 0))</f>
        <v/>
      </c>
      <c r="L403" s="47" t="str">
        <f>IF($A403="", "", IFERROR(($E403 * Premissas!$B$4 * ($I403/$B403) + $E402 * Premissas!$B$5 * ($I402/$B402)) * Premissas!$B$7, 0))</f>
        <v/>
      </c>
      <c r="AI403" s="47" t="str">
        <f>IF($A403="", "", IFERROR(($I403 * Premissas!$B$5) + ($E403 * ($I403/$B403) * Premissas!$B$4 * 12), 0))</f>
        <v/>
      </c>
      <c r="AJ403" s="47" t="str">
        <f>IF($A403="", "", $AI403 * Premissas!$B$12)</f>
        <v/>
      </c>
      <c r="AK403" s="47" t="str">
        <f t="shared" si="13"/>
        <v/>
      </c>
      <c r="AL403" s="47"/>
      <c r="AM403" s="47"/>
    </row>
    <row r="404" ht="15.75" customHeight="1">
      <c r="K404" s="47" t="str">
        <f>IF($A404="", "", IFERROR($E404 * ($I404/$B404) * Premissas!$B$6, 0))</f>
        <v/>
      </c>
      <c r="L404" s="47" t="str">
        <f>IF($A404="", "", IFERROR(($E404 * Premissas!$B$4 * ($I404/$B404) + $E403 * Premissas!$B$5 * ($I403/$B403)) * Premissas!$B$7, 0))</f>
        <v/>
      </c>
      <c r="AI404" s="47" t="str">
        <f>IF($A404="", "", IFERROR(($I404 * Premissas!$B$5) + ($E404 * ($I404/$B404) * Premissas!$B$4 * 12), 0))</f>
        <v/>
      </c>
      <c r="AJ404" s="47" t="str">
        <f>IF($A404="", "", $AI404 * Premissas!$B$12)</f>
        <v/>
      </c>
      <c r="AK404" s="47" t="str">
        <f t="shared" si="13"/>
        <v/>
      </c>
      <c r="AL404" s="47"/>
      <c r="AM404" s="47"/>
    </row>
    <row r="405" ht="15.75" customHeight="1">
      <c r="K405" s="47" t="str">
        <f>IF($A405="", "", IFERROR($E405 * ($I405/$B405) * Premissas!$B$6, 0))</f>
        <v/>
      </c>
      <c r="L405" s="47" t="str">
        <f>IF($A405="", "", IFERROR(($E405 * Premissas!$B$4 * ($I405/$B405) + $E404 * Premissas!$B$5 * ($I404/$B404)) * Premissas!$B$7, 0))</f>
        <v/>
      </c>
      <c r="AI405" s="47" t="str">
        <f>IF($A405="", "", IFERROR(($I405 * Premissas!$B$5) + ($E405 * ($I405/$B405) * Premissas!$B$4 * 12), 0))</f>
        <v/>
      </c>
      <c r="AJ405" s="47" t="str">
        <f>IF($A405="", "", $AI405 * Premissas!$B$12)</f>
        <v/>
      </c>
      <c r="AK405" s="47" t="str">
        <f t="shared" si="13"/>
        <v/>
      </c>
      <c r="AL405" s="47"/>
      <c r="AM405" s="47"/>
    </row>
    <row r="406" ht="15.75" customHeight="1">
      <c r="K406" s="47" t="str">
        <f>IF($A406="", "", IFERROR($E406 * ($I406/$B406) * Premissas!$B$6, 0))</f>
        <v/>
      </c>
      <c r="L406" s="47" t="str">
        <f>IF($A406="", "", IFERROR(($E406 * Premissas!$B$4 * ($I406/$B406) + $E405 * Premissas!$B$5 * ($I405/$B405)) * Premissas!$B$7, 0))</f>
        <v/>
      </c>
      <c r="AI406" s="47" t="str">
        <f>IF($A406="", "", IFERROR(($I406 * Premissas!$B$5) + ($E406 * ($I406/$B406) * Premissas!$B$4 * 12), 0))</f>
        <v/>
      </c>
      <c r="AJ406" s="47" t="str">
        <f>IF($A406="", "", $AI406 * Premissas!$B$12)</f>
        <v/>
      </c>
      <c r="AK406" s="47" t="str">
        <f t="shared" si="13"/>
        <v/>
      </c>
      <c r="AL406" s="47"/>
      <c r="AM406" s="47"/>
    </row>
    <row r="407" ht="15.75" customHeight="1">
      <c r="K407" s="47" t="str">
        <f>IF($A407="", "", IFERROR($E407 * ($I407/$B407) * Premissas!$B$6, 0))</f>
        <v/>
      </c>
      <c r="L407" s="47" t="str">
        <f>IF($A407="", "", IFERROR(($E407 * Premissas!$B$4 * ($I407/$B407) + $E406 * Premissas!$B$5 * ($I406/$B406)) * Premissas!$B$7, 0))</f>
        <v/>
      </c>
      <c r="AI407" s="47" t="str">
        <f>IF($A407="", "", IFERROR(($I407 * Premissas!$B$5) + ($E407 * ($I407/$B407) * Premissas!$B$4 * 12), 0))</f>
        <v/>
      </c>
      <c r="AJ407" s="47" t="str">
        <f>IF($A407="", "", $AI407 * Premissas!$B$12)</f>
        <v/>
      </c>
      <c r="AK407" s="47" t="str">
        <f t="shared" si="13"/>
        <v/>
      </c>
      <c r="AL407" s="47"/>
      <c r="AM407" s="47"/>
    </row>
    <row r="408" ht="15.75" customHeight="1">
      <c r="K408" s="47" t="str">
        <f>IF($A408="", "", IFERROR($E408 * ($I408/$B408) * Premissas!$B$6, 0))</f>
        <v/>
      </c>
      <c r="L408" s="47" t="str">
        <f>IF($A408="", "", IFERROR(($E408 * Premissas!$B$4 * ($I408/$B408) + $E407 * Premissas!$B$5 * ($I407/$B407)) * Premissas!$B$7, 0))</f>
        <v/>
      </c>
      <c r="AI408" s="47" t="str">
        <f>IF($A408="", "", IFERROR(($I408 * Premissas!$B$5) + ($E408 * ($I408/$B408) * Premissas!$B$4 * 12), 0))</f>
        <v/>
      </c>
      <c r="AJ408" s="47" t="str">
        <f>IF($A408="", "", $AI408 * Premissas!$B$12)</f>
        <v/>
      </c>
      <c r="AK408" s="47" t="str">
        <f t="shared" si="13"/>
        <v/>
      </c>
      <c r="AL408" s="47"/>
      <c r="AM408" s="47"/>
    </row>
    <row r="409" ht="15.75" customHeight="1">
      <c r="K409" s="47" t="str">
        <f>IF($A409="", "", IFERROR($E409 * ($I409/$B409) * Premissas!$B$6, 0))</f>
        <v/>
      </c>
      <c r="L409" s="47" t="str">
        <f>IF($A409="", "", IFERROR(($E409 * Premissas!$B$4 * ($I409/$B409) + $E408 * Premissas!$B$5 * ($I408/$B408)) * Premissas!$B$7, 0))</f>
        <v/>
      </c>
      <c r="AI409" s="47" t="str">
        <f>IF($A409="", "", IFERROR(($I409 * Premissas!$B$5) + ($E409 * ($I409/$B409) * Premissas!$B$4 * 12), 0))</f>
        <v/>
      </c>
      <c r="AJ409" s="47" t="str">
        <f>IF($A409="", "", $AI409 * Premissas!$B$12)</f>
        <v/>
      </c>
      <c r="AK409" s="47" t="str">
        <f t="shared" si="13"/>
        <v/>
      </c>
      <c r="AL409" s="47"/>
      <c r="AM409" s="47"/>
    </row>
    <row r="410" ht="15.75" customHeight="1">
      <c r="K410" s="47" t="str">
        <f>IF($A410="", "", IFERROR($E410 * ($I410/$B410) * Premissas!$B$6, 0))</f>
        <v/>
      </c>
      <c r="L410" s="47" t="str">
        <f>IF($A410="", "", IFERROR(($E410 * Premissas!$B$4 * ($I410/$B410) + $E409 * Premissas!$B$5 * ($I409/$B409)) * Premissas!$B$7, 0))</f>
        <v/>
      </c>
      <c r="AI410" s="47" t="str">
        <f>IF($A410="", "", IFERROR(($I410 * Premissas!$B$5) + ($E410 * ($I410/$B410) * Premissas!$B$4 * 12), 0))</f>
        <v/>
      </c>
      <c r="AJ410" s="47" t="str">
        <f>IF($A410="", "", $AI410 * Premissas!$B$12)</f>
        <v/>
      </c>
      <c r="AK410" s="47" t="str">
        <f t="shared" si="13"/>
        <v/>
      </c>
      <c r="AL410" s="47"/>
      <c r="AM410" s="47"/>
    </row>
    <row r="411" ht="15.75" customHeight="1">
      <c r="K411" s="47" t="str">
        <f>IF($A411="", "", IFERROR($E411 * ($I411/$B411) * Premissas!$B$6, 0))</f>
        <v/>
      </c>
      <c r="L411" s="47" t="str">
        <f>IF($A411="", "", IFERROR(($E411 * Premissas!$B$4 * ($I411/$B411) + $E410 * Premissas!$B$5 * ($I410/$B410)) * Premissas!$B$7, 0))</f>
        <v/>
      </c>
      <c r="AI411" s="47" t="str">
        <f>IF($A411="", "", IFERROR(($I411 * Premissas!$B$5) + ($E411 * ($I411/$B411) * Premissas!$B$4 * 12), 0))</f>
        <v/>
      </c>
      <c r="AJ411" s="47" t="str">
        <f>IF($A411="", "", $AI411 * Premissas!$B$12)</f>
        <v/>
      </c>
      <c r="AK411" s="47" t="str">
        <f t="shared" si="13"/>
        <v/>
      </c>
      <c r="AL411" s="47"/>
      <c r="AM411" s="47"/>
    </row>
    <row r="412" ht="15.75" customHeight="1">
      <c r="K412" s="47" t="str">
        <f>IF($A412="", "", IFERROR($E412 * ($I412/$B412) * Premissas!$B$6, 0))</f>
        <v/>
      </c>
      <c r="L412" s="47" t="str">
        <f>IF($A412="", "", IFERROR(($E412 * Premissas!$B$4 * ($I412/$B412) + $E411 * Premissas!$B$5 * ($I411/$B411)) * Premissas!$B$7, 0))</f>
        <v/>
      </c>
      <c r="AI412" s="47" t="str">
        <f>IF($A412="", "", IFERROR(($I412 * Premissas!$B$5) + ($E412 * ($I412/$B412) * Premissas!$B$4 * 12), 0))</f>
        <v/>
      </c>
      <c r="AJ412" s="47" t="str">
        <f>IF($A412="", "", $AI412 * Premissas!$B$12)</f>
        <v/>
      </c>
      <c r="AK412" s="47" t="str">
        <f t="shared" si="13"/>
        <v/>
      </c>
      <c r="AL412" s="47"/>
      <c r="AM412" s="47"/>
    </row>
    <row r="413" ht="15.75" customHeight="1">
      <c r="K413" s="47" t="str">
        <f>IF($A413="", "", IFERROR($E413 * ($I413/$B413) * Premissas!$B$6, 0))</f>
        <v/>
      </c>
      <c r="L413" s="47" t="str">
        <f>IF($A413="", "", IFERROR(($E413 * Premissas!$B$4 * ($I413/$B413) + $E412 * Premissas!$B$5 * ($I412/$B412)) * Premissas!$B$7, 0))</f>
        <v/>
      </c>
      <c r="AI413" s="47" t="str">
        <f>IF($A413="", "", IFERROR(($I413 * Premissas!$B$5) + ($E413 * ($I413/$B413) * Premissas!$B$4 * 12), 0))</f>
        <v/>
      </c>
      <c r="AJ413" s="47" t="str">
        <f>IF($A413="", "", $AI413 * Premissas!$B$12)</f>
        <v/>
      </c>
      <c r="AK413" s="47" t="str">
        <f t="shared" si="13"/>
        <v/>
      </c>
      <c r="AL413" s="47"/>
      <c r="AM413" s="47"/>
    </row>
    <row r="414" ht="15.75" customHeight="1">
      <c r="K414" s="47" t="str">
        <f>IF($A414="", "", IFERROR($E414 * ($I414/$B414) * Premissas!$B$6, 0))</f>
        <v/>
      </c>
      <c r="L414" s="47" t="str">
        <f>IF($A414="", "", IFERROR(($E414 * Premissas!$B$4 * ($I414/$B414) + $E413 * Premissas!$B$5 * ($I413/$B413)) * Premissas!$B$7, 0))</f>
        <v/>
      </c>
      <c r="AI414" s="47" t="str">
        <f>IF($A414="", "", IFERROR(($I414 * Premissas!$B$5) + ($E414 * ($I414/$B414) * Premissas!$B$4 * 12), 0))</f>
        <v/>
      </c>
      <c r="AJ414" s="47" t="str">
        <f>IF($A414="", "", $AI414 * Premissas!$B$12)</f>
        <v/>
      </c>
      <c r="AK414" s="47" t="str">
        <f t="shared" si="13"/>
        <v/>
      </c>
      <c r="AL414" s="47"/>
      <c r="AM414" s="47"/>
    </row>
    <row r="415" ht="15.75" customHeight="1">
      <c r="K415" s="47" t="str">
        <f>IF($A415="", "", IFERROR($E415 * ($I415/$B415) * Premissas!$B$6, 0))</f>
        <v/>
      </c>
      <c r="L415" s="47" t="str">
        <f>IF($A415="", "", IFERROR(($E415 * Premissas!$B$4 * ($I415/$B415) + $E414 * Premissas!$B$5 * ($I414/$B414)) * Premissas!$B$7, 0))</f>
        <v/>
      </c>
      <c r="AI415" s="47" t="str">
        <f>IF($A415="", "", IFERROR(($I415 * Premissas!$B$5) + ($E415 * ($I415/$B415) * Premissas!$B$4 * 12), 0))</f>
        <v/>
      </c>
      <c r="AJ415" s="47" t="str">
        <f>IF($A415="", "", $AI415 * Premissas!$B$12)</f>
        <v/>
      </c>
      <c r="AK415" s="47" t="str">
        <f t="shared" si="13"/>
        <v/>
      </c>
      <c r="AL415" s="47"/>
      <c r="AM415" s="47"/>
    </row>
    <row r="416" ht="15.75" customHeight="1">
      <c r="K416" s="47" t="str">
        <f>IF($A416="", "", IFERROR($E416 * ($I416/$B416) * Premissas!$B$6, 0))</f>
        <v/>
      </c>
      <c r="L416" s="47" t="str">
        <f>IF($A416="", "", IFERROR(($E416 * Premissas!$B$4 * ($I416/$B416) + $E415 * Premissas!$B$5 * ($I415/$B415)) * Premissas!$B$7, 0))</f>
        <v/>
      </c>
      <c r="AI416" s="47" t="str">
        <f>IF($A416="", "", IFERROR(($I416 * Premissas!$B$5) + ($E416 * ($I416/$B416) * Premissas!$B$4 * 12), 0))</f>
        <v/>
      </c>
      <c r="AJ416" s="47" t="str">
        <f>IF($A416="", "", $AI416 * Premissas!$B$12)</f>
        <v/>
      </c>
      <c r="AK416" s="47" t="str">
        <f t="shared" si="13"/>
        <v/>
      </c>
      <c r="AL416" s="47"/>
      <c r="AM416" s="47"/>
    </row>
    <row r="417" ht="15.75" customHeight="1">
      <c r="K417" s="47" t="str">
        <f>IF($A417="", "", IFERROR($E417 * ($I417/$B417) * Premissas!$B$6, 0))</f>
        <v/>
      </c>
      <c r="L417" s="47" t="str">
        <f>IF($A417="", "", IFERROR(($E417 * Premissas!$B$4 * ($I417/$B417) + $E416 * Premissas!$B$5 * ($I416/$B416)) * Premissas!$B$7, 0))</f>
        <v/>
      </c>
      <c r="AI417" s="47" t="str">
        <f>IF($A417="", "", IFERROR(($I417 * Premissas!$B$5) + ($E417 * ($I417/$B417) * Premissas!$B$4 * 12), 0))</f>
        <v/>
      </c>
      <c r="AJ417" s="47" t="str">
        <f>IF($A417="", "", $AI417 * Premissas!$B$12)</f>
        <v/>
      </c>
      <c r="AK417" s="47" t="str">
        <f t="shared" si="13"/>
        <v/>
      </c>
      <c r="AL417" s="47"/>
      <c r="AM417" s="47"/>
    </row>
    <row r="418" ht="15.75" customHeight="1">
      <c r="K418" s="47" t="str">
        <f>IF($A418="", "", IFERROR($E418 * ($I418/$B418) * Premissas!$B$6, 0))</f>
        <v/>
      </c>
      <c r="L418" s="47" t="str">
        <f>IF($A418="", "", IFERROR(($E418 * Premissas!$B$4 * ($I418/$B418) + $E417 * Premissas!$B$5 * ($I417/$B417)) * Premissas!$B$7, 0))</f>
        <v/>
      </c>
      <c r="AI418" s="47" t="str">
        <f>IF($A418="", "", IFERROR(($I418 * Premissas!$B$5) + ($E418 * ($I418/$B418) * Premissas!$B$4 * 12), 0))</f>
        <v/>
      </c>
      <c r="AJ418" s="47" t="str">
        <f>IF($A418="", "", $AI418 * Premissas!$B$12)</f>
        <v/>
      </c>
      <c r="AK418" s="47" t="str">
        <f t="shared" si="13"/>
        <v/>
      </c>
      <c r="AL418" s="47"/>
      <c r="AM418" s="47"/>
    </row>
    <row r="419" ht="15.75" customHeight="1">
      <c r="K419" s="47" t="str">
        <f>IF($A419="", "", IFERROR($E419 * ($I419/$B419) * Premissas!$B$6, 0))</f>
        <v/>
      </c>
      <c r="L419" s="47" t="str">
        <f>IF($A419="", "", IFERROR(($E419 * Premissas!$B$4 * ($I419/$B419) + $E418 * Premissas!$B$5 * ($I418/$B418)) * Premissas!$B$7, 0))</f>
        <v/>
      </c>
      <c r="AI419" s="47" t="str">
        <f>IF($A419="", "", IFERROR(($I419 * Premissas!$B$5) + ($E419 * ($I419/$B419) * Premissas!$B$4 * 12), 0))</f>
        <v/>
      </c>
      <c r="AJ419" s="47" t="str">
        <f>IF($A419="", "", $AI419 * Premissas!$B$12)</f>
        <v/>
      </c>
      <c r="AK419" s="47" t="str">
        <f t="shared" si="13"/>
        <v/>
      </c>
      <c r="AL419" s="47"/>
      <c r="AM419" s="47"/>
    </row>
    <row r="420" ht="15.75" customHeight="1">
      <c r="K420" s="47" t="str">
        <f>IF($A420="", "", IFERROR($E420 * ($I420/$B420) * Premissas!$B$6, 0))</f>
        <v/>
      </c>
      <c r="L420" s="47" t="str">
        <f>IF($A420="", "", IFERROR(($E420 * Premissas!$B$4 * ($I420/$B420) + $E419 * Premissas!$B$5 * ($I419/$B419)) * Premissas!$B$7, 0))</f>
        <v/>
      </c>
      <c r="AI420" s="47" t="str">
        <f>IF($A420="", "", IFERROR(($I420 * Premissas!$B$5) + ($E420 * ($I420/$B420) * Premissas!$B$4 * 12), 0))</f>
        <v/>
      </c>
      <c r="AJ420" s="47" t="str">
        <f>IF($A420="", "", $AI420 * Premissas!$B$12)</f>
        <v/>
      </c>
      <c r="AK420" s="47" t="str">
        <f t="shared" si="13"/>
        <v/>
      </c>
      <c r="AL420" s="47"/>
      <c r="AM420" s="47"/>
    </row>
    <row r="421" ht="15.75" customHeight="1">
      <c r="K421" s="47" t="str">
        <f>IF($A421="", "", IFERROR($E421 * ($I421/$B421) * Premissas!$B$6, 0))</f>
        <v/>
      </c>
      <c r="L421" s="47" t="str">
        <f>IF($A421="", "", IFERROR(($E421 * Premissas!$B$4 * ($I421/$B421) + $E420 * Premissas!$B$5 * ($I420/$B420)) * Premissas!$B$7, 0))</f>
        <v/>
      </c>
      <c r="AI421" s="47" t="str">
        <f>IF($A421="", "", IFERROR(($I421 * Premissas!$B$5) + ($E421 * ($I421/$B421) * Premissas!$B$4 * 12), 0))</f>
        <v/>
      </c>
      <c r="AJ421" s="47" t="str">
        <f>IF($A421="", "", $AI421 * Premissas!$B$12)</f>
        <v/>
      </c>
      <c r="AK421" s="47" t="str">
        <f t="shared" si="13"/>
        <v/>
      </c>
      <c r="AL421" s="47"/>
      <c r="AM421" s="47"/>
    </row>
    <row r="422" ht="15.75" customHeight="1">
      <c r="K422" s="47" t="str">
        <f>IF($A422="", "", IFERROR($E422 * ($I422/$B422) * Premissas!$B$6, 0))</f>
        <v/>
      </c>
      <c r="L422" s="47" t="str">
        <f>IF($A422="", "", IFERROR(($E422 * Premissas!$B$4 * ($I422/$B422) + $E421 * Premissas!$B$5 * ($I421/$B421)) * Premissas!$B$7, 0))</f>
        <v/>
      </c>
      <c r="AI422" s="47" t="str">
        <f>IF($A422="", "", IFERROR(($I422 * Premissas!$B$5) + ($E422 * ($I422/$B422) * Premissas!$B$4 * 12), 0))</f>
        <v/>
      </c>
      <c r="AJ422" s="47" t="str">
        <f>IF($A422="", "", $AI422 * Premissas!$B$12)</f>
        <v/>
      </c>
      <c r="AK422" s="47" t="str">
        <f t="shared" si="13"/>
        <v/>
      </c>
      <c r="AL422" s="47"/>
      <c r="AM422" s="47"/>
    </row>
    <row r="423" ht="15.75" customHeight="1">
      <c r="K423" s="47" t="str">
        <f>IF($A423="", "", IFERROR($E423 * ($I423/$B423) * Premissas!$B$6, 0))</f>
        <v/>
      </c>
      <c r="L423" s="47" t="str">
        <f>IF($A423="", "", IFERROR(($E423 * Premissas!$B$4 * ($I423/$B423) + $E422 * Premissas!$B$5 * ($I422/$B422)) * Premissas!$B$7, 0))</f>
        <v/>
      </c>
      <c r="AI423" s="47" t="str">
        <f>IF($A423="", "", IFERROR(($I423 * Premissas!$B$5) + ($E423 * ($I423/$B423) * Premissas!$B$4 * 12), 0))</f>
        <v/>
      </c>
      <c r="AJ423" s="47" t="str">
        <f>IF($A423="", "", $AI423 * Premissas!$B$12)</f>
        <v/>
      </c>
      <c r="AK423" s="47" t="str">
        <f t="shared" si="13"/>
        <v/>
      </c>
      <c r="AL423" s="47"/>
      <c r="AM423" s="47"/>
    </row>
    <row r="424" ht="15.75" customHeight="1">
      <c r="K424" s="47" t="str">
        <f>IF($A424="", "", IFERROR($E424 * ($I424/$B424) * Premissas!$B$6, 0))</f>
        <v/>
      </c>
      <c r="L424" s="47" t="str">
        <f>IF($A424="", "", IFERROR(($E424 * Premissas!$B$4 * ($I424/$B424) + $E423 * Premissas!$B$5 * ($I423/$B423)) * Premissas!$B$7, 0))</f>
        <v/>
      </c>
      <c r="AI424" s="47" t="str">
        <f>IF($A424="", "", IFERROR(($I424 * Premissas!$B$5) + ($E424 * ($I424/$B424) * Premissas!$B$4 * 12), 0))</f>
        <v/>
      </c>
      <c r="AJ424" s="47" t="str">
        <f>IF($A424="", "", $AI424 * Premissas!$B$12)</f>
        <v/>
      </c>
      <c r="AK424" s="47" t="str">
        <f t="shared" si="13"/>
        <v/>
      </c>
      <c r="AL424" s="47"/>
      <c r="AM424" s="47"/>
    </row>
    <row r="425" ht="15.75" customHeight="1">
      <c r="K425" s="47" t="str">
        <f>IF($A425="", "", IFERROR($E425 * ($I425/$B425) * Premissas!$B$6, 0))</f>
        <v/>
      </c>
      <c r="L425" s="47" t="str">
        <f>IF($A425="", "", IFERROR(($E425 * Premissas!$B$4 * ($I425/$B425) + $E424 * Premissas!$B$5 * ($I424/$B424)) * Premissas!$B$7, 0))</f>
        <v/>
      </c>
      <c r="AI425" s="47" t="str">
        <f>IF($A425="", "", IFERROR(($I425 * Premissas!$B$5) + ($E425 * ($I425/$B425) * Premissas!$B$4 * 12), 0))</f>
        <v/>
      </c>
      <c r="AJ425" s="47" t="str">
        <f>IF($A425="", "", $AI425 * Premissas!$B$12)</f>
        <v/>
      </c>
      <c r="AK425" s="47" t="str">
        <f t="shared" si="13"/>
        <v/>
      </c>
      <c r="AL425" s="47"/>
      <c r="AM425" s="47"/>
    </row>
    <row r="426" ht="15.75" customHeight="1">
      <c r="K426" s="47" t="str">
        <f>IF($A426="", "", IFERROR($E426 * ($I426/$B426) * Premissas!$B$6, 0))</f>
        <v/>
      </c>
      <c r="L426" s="47" t="str">
        <f>IF($A426="", "", IFERROR(($E426 * Premissas!$B$4 * ($I426/$B426) + $E425 * Premissas!$B$5 * ($I425/$B425)) * Premissas!$B$7, 0))</f>
        <v/>
      </c>
      <c r="AI426" s="47" t="str">
        <f>IF($A426="", "", IFERROR(($I426 * Premissas!$B$5) + ($E426 * ($I426/$B426) * Premissas!$B$4 * 12), 0))</f>
        <v/>
      </c>
      <c r="AJ426" s="47" t="str">
        <f>IF($A426="", "", $AI426 * Premissas!$B$12)</f>
        <v/>
      </c>
      <c r="AK426" s="47" t="str">
        <f t="shared" si="13"/>
        <v/>
      </c>
      <c r="AL426" s="47"/>
      <c r="AM426" s="47"/>
    </row>
    <row r="427" ht="15.75" customHeight="1">
      <c r="K427" s="47" t="str">
        <f>IF($A427="", "", IFERROR($E427 * ($I427/$B427) * Premissas!$B$6, 0))</f>
        <v/>
      </c>
      <c r="L427" s="47" t="str">
        <f>IF($A427="", "", IFERROR(($E427 * Premissas!$B$4 * ($I427/$B427) + $E426 * Premissas!$B$5 * ($I426/$B426)) * Premissas!$B$7, 0))</f>
        <v/>
      </c>
      <c r="AI427" s="47" t="str">
        <f>IF($A427="", "", IFERROR(($I427 * Premissas!$B$5) + ($E427 * ($I427/$B427) * Premissas!$B$4 * 12), 0))</f>
        <v/>
      </c>
      <c r="AJ427" s="47" t="str">
        <f>IF($A427="", "", $AI427 * Premissas!$B$12)</f>
        <v/>
      </c>
      <c r="AK427" s="47" t="str">
        <f t="shared" si="13"/>
        <v/>
      </c>
      <c r="AL427" s="47"/>
      <c r="AM427" s="47"/>
    </row>
    <row r="428" ht="15.75" customHeight="1">
      <c r="K428" s="47" t="str">
        <f>IF($A428="", "", IFERROR($E428 * ($I428/$B428) * Premissas!$B$6, 0))</f>
        <v/>
      </c>
      <c r="L428" s="47" t="str">
        <f>IF($A428="", "", IFERROR(($E428 * Premissas!$B$4 * ($I428/$B428) + $E427 * Premissas!$B$5 * ($I427/$B427)) * Premissas!$B$7, 0))</f>
        <v/>
      </c>
      <c r="AI428" s="47" t="str">
        <f>IF($A428="", "", IFERROR(($I428 * Premissas!$B$5) + ($E428 * ($I428/$B428) * Premissas!$B$4 * 12), 0))</f>
        <v/>
      </c>
      <c r="AJ428" s="47" t="str">
        <f>IF($A428="", "", $AI428 * Premissas!$B$12)</f>
        <v/>
      </c>
      <c r="AK428" s="47" t="str">
        <f t="shared" si="13"/>
        <v/>
      </c>
      <c r="AL428" s="47"/>
      <c r="AM428" s="47"/>
    </row>
    <row r="429" ht="15.75" customHeight="1">
      <c r="K429" s="47" t="str">
        <f>IF($A429="", "", IFERROR($E429 * ($I429/$B429) * Premissas!$B$6, 0))</f>
        <v/>
      </c>
      <c r="L429" s="47" t="str">
        <f>IF($A429="", "", IFERROR(($E429 * Premissas!$B$4 * ($I429/$B429) + $E428 * Premissas!$B$5 * ($I428/$B428)) * Premissas!$B$7, 0))</f>
        <v/>
      </c>
      <c r="AI429" s="47" t="str">
        <f>IF($A429="", "", IFERROR(($I429 * Premissas!$B$5) + ($E429 * ($I429/$B429) * Premissas!$B$4 * 12), 0))</f>
        <v/>
      </c>
      <c r="AJ429" s="47" t="str">
        <f>IF($A429="", "", $AI429 * Premissas!$B$12)</f>
        <v/>
      </c>
      <c r="AK429" s="47" t="str">
        <f t="shared" si="13"/>
        <v/>
      </c>
      <c r="AL429" s="47"/>
      <c r="AM429" s="47"/>
    </row>
    <row r="430" ht="15.75" customHeight="1">
      <c r="K430" s="47" t="str">
        <f>IF($A430="", "", IFERROR($E430 * ($I430/$B430) * Premissas!$B$6, 0))</f>
        <v/>
      </c>
      <c r="L430" s="47" t="str">
        <f>IF($A430="", "", IFERROR(($E430 * Premissas!$B$4 * ($I430/$B430) + $E429 * Premissas!$B$5 * ($I429/$B429)) * Premissas!$B$7, 0))</f>
        <v/>
      </c>
      <c r="AI430" s="47" t="str">
        <f>IF($A430="", "", IFERROR(($I430 * Premissas!$B$5) + ($E430 * ($I430/$B430) * Premissas!$B$4 * 12), 0))</f>
        <v/>
      </c>
      <c r="AJ430" s="47" t="str">
        <f>IF($A430="", "", $AI430 * Premissas!$B$12)</f>
        <v/>
      </c>
      <c r="AK430" s="47" t="str">
        <f t="shared" si="13"/>
        <v/>
      </c>
      <c r="AL430" s="47"/>
      <c r="AM430" s="47"/>
    </row>
    <row r="431" ht="15.75" customHeight="1">
      <c r="K431" s="47" t="str">
        <f>IF($A431="", "", IFERROR($E431 * ($I431/$B431) * Premissas!$B$6, 0))</f>
        <v/>
      </c>
      <c r="L431" s="47" t="str">
        <f>IF($A431="", "", IFERROR(($E431 * Premissas!$B$4 * ($I431/$B431) + $E430 * Premissas!$B$5 * ($I430/$B430)) * Premissas!$B$7, 0))</f>
        <v/>
      </c>
      <c r="AI431" s="47" t="str">
        <f>IF($A431="", "", IFERROR(($I431 * Premissas!$B$5) + ($E431 * ($I431/$B431) * Premissas!$B$4 * 12), 0))</f>
        <v/>
      </c>
      <c r="AJ431" s="47" t="str">
        <f>IF($A431="", "", $AI431 * Premissas!$B$12)</f>
        <v/>
      </c>
      <c r="AK431" s="47" t="str">
        <f t="shared" si="13"/>
        <v/>
      </c>
      <c r="AL431" s="47"/>
      <c r="AM431" s="47"/>
    </row>
    <row r="432" ht="15.75" customHeight="1">
      <c r="K432" s="47" t="str">
        <f>IF($A432="", "", IFERROR($E432 * ($I432/$B432) * Premissas!$B$6, 0))</f>
        <v/>
      </c>
      <c r="L432" s="47" t="str">
        <f>IF($A432="", "", IFERROR(($E432 * Premissas!$B$4 * ($I432/$B432) + $E431 * Premissas!$B$5 * ($I431/$B431)) * Premissas!$B$7, 0))</f>
        <v/>
      </c>
      <c r="AI432" s="47" t="str">
        <f>IF($A432="", "", IFERROR(($I432 * Premissas!$B$5) + ($E432 * ($I432/$B432) * Premissas!$B$4 * 12), 0))</f>
        <v/>
      </c>
      <c r="AJ432" s="47" t="str">
        <f>IF($A432="", "", $AI432 * Premissas!$B$12)</f>
        <v/>
      </c>
      <c r="AK432" s="47" t="str">
        <f t="shared" si="13"/>
        <v/>
      </c>
      <c r="AL432" s="47"/>
      <c r="AM432" s="47"/>
    </row>
    <row r="433" ht="15.75" customHeight="1">
      <c r="K433" s="47" t="str">
        <f>IF($A433="", "", IFERROR($E433 * ($I433/$B433) * Premissas!$B$6, 0))</f>
        <v/>
      </c>
      <c r="L433" s="47" t="str">
        <f>IF($A433="", "", IFERROR(($E433 * Premissas!$B$4 * ($I433/$B433) + $E432 * Premissas!$B$5 * ($I432/$B432)) * Premissas!$B$7, 0))</f>
        <v/>
      </c>
      <c r="AI433" s="47" t="str">
        <f>IF($A433="", "", IFERROR(($I433 * Premissas!$B$5) + ($E433 * ($I433/$B433) * Premissas!$B$4 * 12), 0))</f>
        <v/>
      </c>
      <c r="AJ433" s="47" t="str">
        <f>IF($A433="", "", $AI433 * Premissas!$B$12)</f>
        <v/>
      </c>
      <c r="AK433" s="47" t="str">
        <f t="shared" si="13"/>
        <v/>
      </c>
      <c r="AL433" s="47"/>
      <c r="AM433" s="47"/>
    </row>
    <row r="434" ht="15.75" customHeight="1">
      <c r="K434" s="47" t="str">
        <f>IF($A434="", "", IFERROR($E434 * ($I434/$B434) * Premissas!$B$6, 0))</f>
        <v/>
      </c>
      <c r="L434" s="47" t="str">
        <f>IF($A434="", "", IFERROR(($E434 * Premissas!$B$4 * ($I434/$B434) + $E433 * Premissas!$B$5 * ($I433/$B433)) * Premissas!$B$7, 0))</f>
        <v/>
      </c>
      <c r="AI434" s="47" t="str">
        <f>IF($A434="", "", IFERROR(($I434 * Premissas!$B$5) + ($E434 * ($I434/$B434) * Premissas!$B$4 * 12), 0))</f>
        <v/>
      </c>
      <c r="AJ434" s="47" t="str">
        <f>IF($A434="", "", $AI434 * Premissas!$B$12)</f>
        <v/>
      </c>
      <c r="AK434" s="47" t="str">
        <f t="shared" si="13"/>
        <v/>
      </c>
      <c r="AL434" s="47"/>
      <c r="AM434" s="47"/>
    </row>
    <row r="435" ht="15.75" customHeight="1">
      <c r="K435" s="47" t="str">
        <f>IF($A435="", "", IFERROR($E435 * ($I435/$B435) * Premissas!$B$6, 0))</f>
        <v/>
      </c>
      <c r="L435" s="47" t="str">
        <f>IF($A435="", "", IFERROR(($E435 * Premissas!$B$4 * ($I435/$B435) + $E434 * Premissas!$B$5 * ($I434/$B434)) * Premissas!$B$7, 0))</f>
        <v/>
      </c>
      <c r="AI435" s="47" t="str">
        <f>IF($A435="", "", IFERROR(($I435 * Premissas!$B$5) + ($E435 * ($I435/$B435) * Premissas!$B$4 * 12), 0))</f>
        <v/>
      </c>
      <c r="AJ435" s="47" t="str">
        <f>IF($A435="", "", $AI435 * Premissas!$B$12)</f>
        <v/>
      </c>
      <c r="AK435" s="47" t="str">
        <f t="shared" si="13"/>
        <v/>
      </c>
      <c r="AL435" s="47"/>
      <c r="AM435" s="47"/>
    </row>
    <row r="436" ht="15.75" customHeight="1">
      <c r="K436" s="47" t="str">
        <f>IF($A436="", "", IFERROR($E436 * ($I436/$B436) * Premissas!$B$6, 0))</f>
        <v/>
      </c>
      <c r="L436" s="47" t="str">
        <f>IF($A436="", "", IFERROR(($E436 * Premissas!$B$4 * ($I436/$B436) + $E435 * Premissas!$B$5 * ($I435/$B435)) * Premissas!$B$7, 0))</f>
        <v/>
      </c>
      <c r="AI436" s="47" t="str">
        <f>IF($A436="", "", IFERROR(($I436 * Premissas!$B$5) + ($E436 * ($I436/$B436) * Premissas!$B$4 * 12), 0))</f>
        <v/>
      </c>
      <c r="AJ436" s="47" t="str">
        <f>IF($A436="", "", $AI436 * Premissas!$B$12)</f>
        <v/>
      </c>
      <c r="AK436" s="47" t="str">
        <f t="shared" si="13"/>
        <v/>
      </c>
      <c r="AL436" s="47"/>
      <c r="AM436" s="47"/>
    </row>
    <row r="437" ht="15.75" customHeight="1">
      <c r="K437" s="47" t="str">
        <f>IF($A437="", "", IFERROR($E437 * ($I437/$B437) * Premissas!$B$6, 0))</f>
        <v/>
      </c>
      <c r="L437" s="47" t="str">
        <f>IF($A437="", "", IFERROR(($E437 * Premissas!$B$4 * ($I437/$B437) + $E436 * Premissas!$B$5 * ($I436/$B436)) * Premissas!$B$7, 0))</f>
        <v/>
      </c>
      <c r="AI437" s="47" t="str">
        <f>IF($A437="", "", IFERROR(($I437 * Premissas!$B$5) + ($E437 * ($I437/$B437) * Premissas!$B$4 * 12), 0))</f>
        <v/>
      </c>
      <c r="AJ437" s="47" t="str">
        <f>IF($A437="", "", $AI437 * Premissas!$B$12)</f>
        <v/>
      </c>
      <c r="AK437" s="47" t="str">
        <f t="shared" si="13"/>
        <v/>
      </c>
      <c r="AL437" s="47"/>
      <c r="AM437" s="47"/>
    </row>
    <row r="438" ht="15.75" customHeight="1">
      <c r="K438" s="47" t="str">
        <f>IF($A438="", "", IFERROR($E438 * ($I438/$B438) * Premissas!$B$6, 0))</f>
        <v/>
      </c>
      <c r="L438" s="47" t="str">
        <f>IF($A438="", "", IFERROR(($E438 * Premissas!$B$4 * ($I438/$B438) + $E437 * Premissas!$B$5 * ($I437/$B437)) * Premissas!$B$7, 0))</f>
        <v/>
      </c>
      <c r="AI438" s="47" t="str">
        <f>IF($A438="", "", IFERROR(($I438 * Premissas!$B$5) + ($E438 * ($I438/$B438) * Premissas!$B$4 * 12), 0))</f>
        <v/>
      </c>
      <c r="AJ438" s="47" t="str">
        <f>IF($A438="", "", $AI438 * Premissas!$B$12)</f>
        <v/>
      </c>
      <c r="AK438" s="47" t="str">
        <f t="shared" si="13"/>
        <v/>
      </c>
      <c r="AL438" s="47"/>
      <c r="AM438" s="47"/>
    </row>
    <row r="439" ht="15.75" customHeight="1">
      <c r="K439" s="47" t="str">
        <f>IF($A439="", "", IFERROR($E439 * ($I439/$B439) * Premissas!$B$6, 0))</f>
        <v/>
      </c>
      <c r="L439" s="47" t="str">
        <f>IF($A439="", "", IFERROR(($E439 * Premissas!$B$4 * ($I439/$B439) + $E438 * Premissas!$B$5 * ($I438/$B438)) * Premissas!$B$7, 0))</f>
        <v/>
      </c>
      <c r="AI439" s="47" t="str">
        <f>IF($A439="", "", IFERROR(($I439 * Premissas!$B$5) + ($E439 * ($I439/$B439) * Premissas!$B$4 * 12), 0))</f>
        <v/>
      </c>
      <c r="AJ439" s="47" t="str">
        <f>IF($A439="", "", $AI439 * Premissas!$B$12)</f>
        <v/>
      </c>
      <c r="AK439" s="47" t="str">
        <f t="shared" si="13"/>
        <v/>
      </c>
      <c r="AL439" s="47"/>
      <c r="AM439" s="47"/>
    </row>
    <row r="440" ht="15.75" customHeight="1">
      <c r="K440" s="47" t="str">
        <f>IF($A440="", "", IFERROR($E440 * ($I440/$B440) * Premissas!$B$6, 0))</f>
        <v/>
      </c>
      <c r="L440" s="47" t="str">
        <f>IF($A440="", "", IFERROR(($E440 * Premissas!$B$4 * ($I440/$B440) + $E439 * Premissas!$B$5 * ($I439/$B439)) * Premissas!$B$7, 0))</f>
        <v/>
      </c>
      <c r="AI440" s="47" t="str">
        <f>IF($A440="", "", IFERROR(($I440 * Premissas!$B$5) + ($E440 * ($I440/$B440) * Premissas!$B$4 * 12), 0))</f>
        <v/>
      </c>
      <c r="AJ440" s="47" t="str">
        <f>IF($A440="", "", $AI440 * Premissas!$B$12)</f>
        <v/>
      </c>
      <c r="AK440" s="47" t="str">
        <f t="shared" si="13"/>
        <v/>
      </c>
      <c r="AL440" s="47"/>
      <c r="AM440" s="47"/>
    </row>
    <row r="441" ht="15.75" customHeight="1">
      <c r="K441" s="47" t="str">
        <f>IF($A441="", "", IFERROR($E441 * ($I441/$B441) * Premissas!$B$6, 0))</f>
        <v/>
      </c>
      <c r="L441" s="47" t="str">
        <f>IF($A441="", "", IFERROR(($E441 * Premissas!$B$4 * ($I441/$B441) + $E440 * Premissas!$B$5 * ($I440/$B440)) * Premissas!$B$7, 0))</f>
        <v/>
      </c>
      <c r="AI441" s="47" t="str">
        <f>IF($A441="", "", IFERROR(($I441 * Premissas!$B$5) + ($E441 * ($I441/$B441) * Premissas!$B$4 * 12), 0))</f>
        <v/>
      </c>
      <c r="AJ441" s="47" t="str">
        <f>IF($A441="", "", $AI441 * Premissas!$B$12)</f>
        <v/>
      </c>
      <c r="AK441" s="47" t="str">
        <f t="shared" si="13"/>
        <v/>
      </c>
      <c r="AL441" s="47"/>
      <c r="AM441" s="47"/>
    </row>
    <row r="442" ht="15.75" customHeight="1">
      <c r="K442" s="47" t="str">
        <f>IF($A442="", "", IFERROR($E442 * ($I442/$B442) * Premissas!$B$6, 0))</f>
        <v/>
      </c>
      <c r="L442" s="47" t="str">
        <f>IF($A442="", "", IFERROR(($E442 * Premissas!$B$4 * ($I442/$B442) + $E441 * Premissas!$B$5 * ($I441/$B441)) * Premissas!$B$7, 0))</f>
        <v/>
      </c>
      <c r="AI442" s="47" t="str">
        <f>IF($A442="", "", IFERROR(($I442 * Premissas!$B$5) + ($E442 * ($I442/$B442) * Premissas!$B$4 * 12), 0))</f>
        <v/>
      </c>
      <c r="AJ442" s="47" t="str">
        <f>IF($A442="", "", $AI442 * Premissas!$B$12)</f>
        <v/>
      </c>
      <c r="AK442" s="47" t="str">
        <f t="shared" si="13"/>
        <v/>
      </c>
      <c r="AL442" s="47"/>
      <c r="AM442" s="47"/>
    </row>
    <row r="443" ht="15.75" customHeight="1">
      <c r="K443" s="47" t="str">
        <f>IF($A443="", "", IFERROR($E443 * ($I443/$B443) * Premissas!$B$6, 0))</f>
        <v/>
      </c>
      <c r="L443" s="47" t="str">
        <f>IF($A443="", "", IFERROR(($E443 * Premissas!$B$4 * ($I443/$B443) + $E442 * Premissas!$B$5 * ($I442/$B442)) * Premissas!$B$7, 0))</f>
        <v/>
      </c>
      <c r="AI443" s="47" t="str">
        <f>IF($A443="", "", IFERROR(($I443 * Premissas!$B$5) + ($E443 * ($I443/$B443) * Premissas!$B$4 * 12), 0))</f>
        <v/>
      </c>
      <c r="AJ443" s="47" t="str">
        <f>IF($A443="", "", $AI443 * Premissas!$B$12)</f>
        <v/>
      </c>
      <c r="AK443" s="47" t="str">
        <f t="shared" si="13"/>
        <v/>
      </c>
      <c r="AL443" s="47"/>
      <c r="AM443" s="47"/>
    </row>
    <row r="444" ht="15.75" customHeight="1">
      <c r="K444" s="47" t="str">
        <f>IF($A444="", "", IFERROR($E444 * ($I444/$B444) * Premissas!$B$6, 0))</f>
        <v/>
      </c>
      <c r="L444" s="47" t="str">
        <f>IF($A444="", "", IFERROR(($E444 * Premissas!$B$4 * ($I444/$B444) + $E443 * Premissas!$B$5 * ($I443/$B443)) * Premissas!$B$7, 0))</f>
        <v/>
      </c>
      <c r="AI444" s="47" t="str">
        <f>IF($A444="", "", IFERROR(($I444 * Premissas!$B$5) + ($E444 * ($I444/$B444) * Premissas!$B$4 * 12), 0))</f>
        <v/>
      </c>
      <c r="AJ444" s="47" t="str">
        <f>IF($A444="", "", $AI444 * Premissas!$B$12)</f>
        <v/>
      </c>
      <c r="AK444" s="47" t="str">
        <f t="shared" si="13"/>
        <v/>
      </c>
      <c r="AL444" s="47"/>
      <c r="AM444" s="47"/>
    </row>
    <row r="445" ht="15.75" customHeight="1">
      <c r="K445" s="47" t="str">
        <f>IF($A445="", "", IFERROR($E445 * ($I445/$B445) * Premissas!$B$6, 0))</f>
        <v/>
      </c>
      <c r="L445" s="47" t="str">
        <f>IF($A445="", "", IFERROR(($E445 * Premissas!$B$4 * ($I445/$B445) + $E444 * Premissas!$B$5 * ($I444/$B444)) * Premissas!$B$7, 0))</f>
        <v/>
      </c>
      <c r="AI445" s="47" t="str">
        <f>IF($A445="", "", IFERROR(($I445 * Premissas!$B$5) + ($E445 * ($I445/$B445) * Premissas!$B$4 * 12), 0))</f>
        <v/>
      </c>
      <c r="AJ445" s="47" t="str">
        <f>IF($A445="", "", $AI445 * Premissas!$B$12)</f>
        <v/>
      </c>
      <c r="AK445" s="47" t="str">
        <f t="shared" si="13"/>
        <v/>
      </c>
      <c r="AL445" s="47"/>
      <c r="AM445" s="47"/>
    </row>
    <row r="446" ht="15.75" customHeight="1">
      <c r="K446" s="47" t="str">
        <f>IF($A446="", "", IFERROR($E446 * ($I446/$B446) * Premissas!$B$6, 0))</f>
        <v/>
      </c>
      <c r="L446" s="47" t="str">
        <f>IF($A446="", "", IFERROR(($E446 * Premissas!$B$4 * ($I446/$B446) + $E445 * Premissas!$B$5 * ($I445/$B445)) * Premissas!$B$7, 0))</f>
        <v/>
      </c>
      <c r="AI446" s="47" t="str">
        <f>IF($A446="", "", IFERROR(($I446 * Premissas!$B$5) + ($E446 * ($I446/$B446) * Premissas!$B$4 * 12), 0))</f>
        <v/>
      </c>
      <c r="AJ446" s="47" t="str">
        <f>IF($A446="", "", $AI446 * Premissas!$B$12)</f>
        <v/>
      </c>
      <c r="AK446" s="47" t="str">
        <f t="shared" si="13"/>
        <v/>
      </c>
      <c r="AL446" s="47"/>
      <c r="AM446" s="47"/>
    </row>
    <row r="447" ht="15.75" customHeight="1">
      <c r="K447" s="47" t="str">
        <f>IF($A447="", "", IFERROR($E447 * ($I447/$B447) * Premissas!$B$6, 0))</f>
        <v/>
      </c>
      <c r="L447" s="47" t="str">
        <f>IF($A447="", "", IFERROR(($E447 * Premissas!$B$4 * ($I447/$B447) + $E446 * Premissas!$B$5 * ($I446/$B446)) * Premissas!$B$7, 0))</f>
        <v/>
      </c>
      <c r="AI447" s="47" t="str">
        <f>IF($A447="", "", IFERROR(($I447 * Premissas!$B$5) + ($E447 * ($I447/$B447) * Premissas!$B$4 * 12), 0))</f>
        <v/>
      </c>
      <c r="AJ447" s="47" t="str">
        <f>IF($A447="", "", $AI447 * Premissas!$B$12)</f>
        <v/>
      </c>
      <c r="AK447" s="47" t="str">
        <f t="shared" si="13"/>
        <v/>
      </c>
      <c r="AL447" s="47"/>
      <c r="AM447" s="47"/>
    </row>
    <row r="448" ht="15.75" customHeight="1">
      <c r="K448" s="47" t="str">
        <f>IF($A448="", "", IFERROR($E448 * ($I448/$B448) * Premissas!$B$6, 0))</f>
        <v/>
      </c>
      <c r="L448" s="47" t="str">
        <f>IF($A448="", "", IFERROR(($E448 * Premissas!$B$4 * ($I448/$B448) + $E447 * Premissas!$B$5 * ($I447/$B447)) * Premissas!$B$7, 0))</f>
        <v/>
      </c>
      <c r="AI448" s="47" t="str">
        <f>IF($A448="", "", IFERROR(($I448 * Premissas!$B$5) + ($E448 * ($I448/$B448) * Premissas!$B$4 * 12), 0))</f>
        <v/>
      </c>
      <c r="AJ448" s="47" t="str">
        <f>IF($A448="", "", $AI448 * Premissas!$B$12)</f>
        <v/>
      </c>
      <c r="AK448" s="47" t="str">
        <f t="shared" si="13"/>
        <v/>
      </c>
      <c r="AL448" s="47"/>
      <c r="AM448" s="47"/>
    </row>
    <row r="449" ht="15.75" customHeight="1">
      <c r="K449" s="47" t="str">
        <f>IF($A449="", "", IFERROR($E449 * ($I449/$B449) * Premissas!$B$6, 0))</f>
        <v/>
      </c>
      <c r="L449" s="47" t="str">
        <f>IF($A449="", "", IFERROR(($E449 * Premissas!$B$4 * ($I449/$B449) + $E448 * Premissas!$B$5 * ($I448/$B448)) * Premissas!$B$7, 0))</f>
        <v/>
      </c>
      <c r="AI449" s="47" t="str">
        <f>IF($A449="", "", IFERROR(($I449 * Premissas!$B$5) + ($E449 * ($I449/$B449) * Premissas!$B$4 * 12), 0))</f>
        <v/>
      </c>
      <c r="AJ449" s="47" t="str">
        <f>IF($A449="", "", $AI449 * Premissas!$B$12)</f>
        <v/>
      </c>
      <c r="AK449" s="47" t="str">
        <f t="shared" si="13"/>
        <v/>
      </c>
      <c r="AL449" s="47"/>
      <c r="AM449" s="47"/>
    </row>
    <row r="450" ht="15.75" customHeight="1">
      <c r="K450" s="47" t="str">
        <f>IF($A450="", "", IFERROR($E450 * ($I450/$B450) * Premissas!$B$6, 0))</f>
        <v/>
      </c>
      <c r="L450" s="47" t="str">
        <f>IF($A450="", "", IFERROR(($E450 * Premissas!$B$4 * ($I450/$B450) + $E449 * Premissas!$B$5 * ($I449/$B449)) * Premissas!$B$7, 0))</f>
        <v/>
      </c>
      <c r="AI450" s="47" t="str">
        <f>IF($A450="", "", IFERROR(($I450 * Premissas!$B$5) + ($E450 * ($I450/$B450) * Premissas!$B$4 * 12), 0))</f>
        <v/>
      </c>
      <c r="AJ450" s="47" t="str">
        <f>IF($A450="", "", $AI450 * Premissas!$B$12)</f>
        <v/>
      </c>
      <c r="AK450" s="47" t="str">
        <f t="shared" si="13"/>
        <v/>
      </c>
      <c r="AL450" s="47"/>
      <c r="AM450" s="47"/>
    </row>
    <row r="451" ht="15.75" customHeight="1">
      <c r="K451" s="47" t="str">
        <f>IF($A451="", "", IFERROR($E451 * ($I451/$B451) * Premissas!$B$6, 0))</f>
        <v/>
      </c>
      <c r="L451" s="47" t="str">
        <f>IF($A451="", "", IFERROR(($E451 * Premissas!$B$4 * ($I451/$B451) + $E450 * Premissas!$B$5 * ($I450/$B450)) * Premissas!$B$7, 0))</f>
        <v/>
      </c>
      <c r="AI451" s="47" t="str">
        <f>IF($A451="", "", IFERROR(($I451 * Premissas!$B$5) + ($E451 * ($I451/$B451) * Premissas!$B$4 * 12), 0))</f>
        <v/>
      </c>
      <c r="AJ451" s="47" t="str">
        <f>IF($A451="", "", $AI451 * Premissas!$B$12)</f>
        <v/>
      </c>
      <c r="AK451" s="47" t="str">
        <f t="shared" si="13"/>
        <v/>
      </c>
      <c r="AL451" s="47"/>
      <c r="AM451" s="47"/>
    </row>
    <row r="452" ht="15.75" customHeight="1">
      <c r="K452" s="47" t="str">
        <f>IF($A452="", "", IFERROR($E452 * ($I452/$B452) * Premissas!$B$6, 0))</f>
        <v/>
      </c>
      <c r="L452" s="47" t="str">
        <f>IF($A452="", "", IFERROR(($E452 * Premissas!$B$4 * ($I452/$B452) + $E451 * Premissas!$B$5 * ($I451/$B451)) * Premissas!$B$7, 0))</f>
        <v/>
      </c>
      <c r="AI452" s="47" t="str">
        <f>IF($A452="", "", IFERROR(($I452 * Premissas!$B$5) + ($E452 * ($I452/$B452) * Premissas!$B$4 * 12), 0))</f>
        <v/>
      </c>
      <c r="AJ452" s="47" t="str">
        <f>IF($A452="", "", $AI452 * Premissas!$B$12)</f>
        <v/>
      </c>
      <c r="AK452" s="47" t="str">
        <f t="shared" si="13"/>
        <v/>
      </c>
      <c r="AL452" s="47"/>
      <c r="AM452" s="47"/>
    </row>
    <row r="453" ht="15.75" customHeight="1">
      <c r="K453" s="47" t="str">
        <f>IF($A453="", "", IFERROR($E453 * ($I453/$B453) * Premissas!$B$6, 0))</f>
        <v/>
      </c>
      <c r="L453" s="47" t="str">
        <f>IF($A453="", "", IFERROR(($E453 * Premissas!$B$4 * ($I453/$B453) + $E452 * Premissas!$B$5 * ($I452/$B452)) * Premissas!$B$7, 0))</f>
        <v/>
      </c>
      <c r="AI453" s="47" t="str">
        <f>IF($A453="", "", IFERROR(($I453 * Premissas!$B$5) + ($E453 * ($I453/$B453) * Premissas!$B$4 * 12), 0))</f>
        <v/>
      </c>
      <c r="AJ453" s="47" t="str">
        <f>IF($A453="", "", $AI453 * Premissas!$B$12)</f>
        <v/>
      </c>
      <c r="AK453" s="47" t="str">
        <f t="shared" si="13"/>
        <v/>
      </c>
      <c r="AL453" s="47"/>
      <c r="AM453" s="47"/>
    </row>
    <row r="454" ht="15.75" customHeight="1">
      <c r="K454" s="47" t="str">
        <f>IF($A454="", "", IFERROR($E454 * ($I454/$B454) * Premissas!$B$6, 0))</f>
        <v/>
      </c>
      <c r="L454" s="47" t="str">
        <f>IF($A454="", "", IFERROR(($E454 * Premissas!$B$4 * ($I454/$B454) + $E453 * Premissas!$B$5 * ($I453/$B453)) * Premissas!$B$7, 0))</f>
        <v/>
      </c>
      <c r="AI454" s="47" t="str">
        <f>IF($A454="", "", IFERROR(($I454 * Premissas!$B$5) + ($E454 * ($I454/$B454) * Premissas!$B$4 * 12), 0))</f>
        <v/>
      </c>
      <c r="AJ454" s="47" t="str">
        <f>IF($A454="", "", $AI454 * Premissas!$B$12)</f>
        <v/>
      </c>
      <c r="AK454" s="47" t="str">
        <f t="shared" si="13"/>
        <v/>
      </c>
      <c r="AL454" s="47"/>
      <c r="AM454" s="47"/>
    </row>
    <row r="455" ht="15.75" customHeight="1">
      <c r="K455" s="47" t="str">
        <f>IF($A455="", "", IFERROR($E455 * ($I455/$B455) * Premissas!$B$6, 0))</f>
        <v/>
      </c>
      <c r="L455" s="47" t="str">
        <f>IF($A455="", "", IFERROR(($E455 * Premissas!$B$4 * ($I455/$B455) + $E454 * Premissas!$B$5 * ($I454/$B454)) * Premissas!$B$7, 0))</f>
        <v/>
      </c>
      <c r="AI455" s="47" t="str">
        <f>IF($A455="", "", IFERROR(($I455 * Premissas!$B$5) + ($E455 * ($I455/$B455) * Premissas!$B$4 * 12), 0))</f>
        <v/>
      </c>
      <c r="AJ455" s="47" t="str">
        <f>IF($A455="", "", $AI455 * Premissas!$B$12)</f>
        <v/>
      </c>
      <c r="AK455" s="47" t="str">
        <f t="shared" si="13"/>
        <v/>
      </c>
      <c r="AL455" s="47"/>
      <c r="AM455" s="47"/>
    </row>
    <row r="456" ht="15.75" customHeight="1">
      <c r="K456" s="47" t="str">
        <f>IF($A456="", "", IFERROR($E456 * ($I456/$B456) * Premissas!$B$6, 0))</f>
        <v/>
      </c>
      <c r="L456" s="47" t="str">
        <f>IF($A456="", "", IFERROR(($E456 * Premissas!$B$4 * ($I456/$B456) + $E455 * Premissas!$B$5 * ($I455/$B455)) * Premissas!$B$7, 0))</f>
        <v/>
      </c>
      <c r="AI456" s="47" t="str">
        <f>IF($A456="", "", IFERROR(($I456 * Premissas!$B$5) + ($E456 * ($I456/$B456) * Premissas!$B$4 * 12), 0))</f>
        <v/>
      </c>
      <c r="AJ456" s="47" t="str">
        <f>IF($A456="", "", $AI456 * Premissas!$B$12)</f>
        <v/>
      </c>
      <c r="AK456" s="47" t="str">
        <f t="shared" si="13"/>
        <v/>
      </c>
      <c r="AL456" s="47"/>
      <c r="AM456" s="47"/>
    </row>
    <row r="457" ht="15.75" customHeight="1">
      <c r="K457" s="47" t="str">
        <f>IF($A457="", "", IFERROR($E457 * ($I457/$B457) * Premissas!$B$6, 0))</f>
        <v/>
      </c>
      <c r="L457" s="47" t="str">
        <f>IF($A457="", "", IFERROR(($E457 * Premissas!$B$4 * ($I457/$B457) + $E456 * Premissas!$B$5 * ($I456/$B456)) * Premissas!$B$7, 0))</f>
        <v/>
      </c>
      <c r="AI457" s="47" t="str">
        <f>IF($A457="", "", IFERROR(($I457 * Premissas!$B$5) + ($E457 * ($I457/$B457) * Premissas!$B$4 * 12), 0))</f>
        <v/>
      </c>
      <c r="AJ457" s="47" t="str">
        <f>IF($A457="", "", $AI457 * Premissas!$B$12)</f>
        <v/>
      </c>
      <c r="AK457" s="47" t="str">
        <f t="shared" si="13"/>
        <v/>
      </c>
      <c r="AL457" s="47"/>
      <c r="AM457" s="47"/>
    </row>
    <row r="458" ht="15.75" customHeight="1">
      <c r="K458" s="47" t="str">
        <f>IF($A458="", "", IFERROR($E458 * ($I458/$B458) * Premissas!$B$6, 0))</f>
        <v/>
      </c>
      <c r="L458" s="47" t="str">
        <f>IF($A458="", "", IFERROR(($E458 * Premissas!$B$4 * ($I458/$B458) + $E457 * Premissas!$B$5 * ($I457/$B457)) * Premissas!$B$7, 0))</f>
        <v/>
      </c>
      <c r="AI458" s="47" t="str">
        <f>IF($A458="", "", IFERROR(($I458 * Premissas!$B$5) + ($E458 * ($I458/$B458) * Premissas!$B$4 * 12), 0))</f>
        <v/>
      </c>
      <c r="AJ458" s="47" t="str">
        <f>IF($A458="", "", $AI458 * Premissas!$B$12)</f>
        <v/>
      </c>
      <c r="AK458" s="47" t="str">
        <f t="shared" si="13"/>
        <v/>
      </c>
      <c r="AL458" s="47"/>
      <c r="AM458" s="47"/>
    </row>
    <row r="459" ht="15.75" customHeight="1">
      <c r="K459" s="47" t="str">
        <f>IF($A459="", "", IFERROR($E459 * ($I459/$B459) * Premissas!$B$6, 0))</f>
        <v/>
      </c>
      <c r="L459" s="47" t="str">
        <f>IF($A459="", "", IFERROR(($E459 * Premissas!$B$4 * ($I459/$B459) + $E458 * Premissas!$B$5 * ($I458/$B458)) * Premissas!$B$7, 0))</f>
        <v/>
      </c>
      <c r="AI459" s="47" t="str">
        <f>IF($A459="", "", IFERROR(($I459 * Premissas!$B$5) + ($E459 * ($I459/$B459) * Premissas!$B$4 * 12), 0))</f>
        <v/>
      </c>
      <c r="AJ459" s="47" t="str">
        <f>IF($A459="", "", $AI459 * Premissas!$B$12)</f>
        <v/>
      </c>
      <c r="AK459" s="47" t="str">
        <f t="shared" si="13"/>
        <v/>
      </c>
      <c r="AL459" s="47"/>
      <c r="AM459" s="47"/>
    </row>
    <row r="460" ht="15.75" customHeight="1">
      <c r="K460" s="47" t="str">
        <f>IF($A460="", "", IFERROR($E460 * ($I460/$B460) * Premissas!$B$6, 0))</f>
        <v/>
      </c>
      <c r="L460" s="47" t="str">
        <f>IF($A460="", "", IFERROR(($E460 * Premissas!$B$4 * ($I460/$B460) + $E459 * Premissas!$B$5 * ($I459/$B459)) * Premissas!$B$7, 0))</f>
        <v/>
      </c>
      <c r="AI460" s="47" t="str">
        <f>IF($A460="", "", IFERROR(($I460 * Premissas!$B$5) + ($E460 * ($I460/$B460) * Premissas!$B$4 * 12), 0))</f>
        <v/>
      </c>
      <c r="AJ460" s="47" t="str">
        <f>IF($A460="", "", $AI460 * Premissas!$B$12)</f>
        <v/>
      </c>
      <c r="AK460" s="47" t="str">
        <f t="shared" si="13"/>
        <v/>
      </c>
      <c r="AL460" s="47"/>
      <c r="AM460" s="47"/>
    </row>
    <row r="461" ht="15.75" customHeight="1">
      <c r="K461" s="47" t="str">
        <f>IF($A461="", "", IFERROR($E461 * ($I461/$B461) * Premissas!$B$6, 0))</f>
        <v/>
      </c>
      <c r="L461" s="47" t="str">
        <f>IF($A461="", "", IFERROR(($E461 * Premissas!$B$4 * ($I461/$B461) + $E460 * Premissas!$B$5 * ($I460/$B460)) * Premissas!$B$7, 0))</f>
        <v/>
      </c>
      <c r="AI461" s="47" t="str">
        <f>IF($A461="", "", IFERROR(($I461 * Premissas!$B$5) + ($E461 * ($I461/$B461) * Premissas!$B$4 * 12), 0))</f>
        <v/>
      </c>
      <c r="AJ461" s="47" t="str">
        <f>IF($A461="", "", $AI461 * Premissas!$B$12)</f>
        <v/>
      </c>
      <c r="AK461" s="47" t="str">
        <f t="shared" si="13"/>
        <v/>
      </c>
      <c r="AL461" s="47"/>
      <c r="AM461" s="47"/>
    </row>
    <row r="462" ht="15.75" customHeight="1">
      <c r="K462" s="47" t="str">
        <f>IF($A462="", "", IFERROR($E462 * ($I462/$B462) * Premissas!$B$6, 0))</f>
        <v/>
      </c>
      <c r="L462" s="47" t="str">
        <f>IF($A462="", "", IFERROR(($E462 * Premissas!$B$4 * ($I462/$B462) + $E461 * Premissas!$B$5 * ($I461/$B461)) * Premissas!$B$7, 0))</f>
        <v/>
      </c>
      <c r="AI462" s="47" t="str">
        <f>IF($A462="", "", IFERROR(($I462 * Premissas!$B$5) + ($E462 * ($I462/$B462) * Premissas!$B$4 * 12), 0))</f>
        <v/>
      </c>
      <c r="AJ462" s="47" t="str">
        <f>IF($A462="", "", $AI462 * Premissas!$B$12)</f>
        <v/>
      </c>
      <c r="AK462" s="47" t="str">
        <f t="shared" si="13"/>
        <v/>
      </c>
      <c r="AL462" s="47"/>
      <c r="AM462" s="47"/>
    </row>
    <row r="463" ht="15.75" customHeight="1">
      <c r="K463" s="47" t="str">
        <f>IF($A463="", "", IFERROR($E463 * ($I463/$B463) * Premissas!$B$6, 0))</f>
        <v/>
      </c>
      <c r="L463" s="47" t="str">
        <f>IF($A463="", "", IFERROR(($E463 * Premissas!$B$4 * ($I463/$B463) + $E462 * Premissas!$B$5 * ($I462/$B462)) * Premissas!$B$7, 0))</f>
        <v/>
      </c>
      <c r="AI463" s="47" t="str">
        <f>IF($A463="", "", IFERROR(($I463 * Premissas!$B$5) + ($E463 * ($I463/$B463) * Premissas!$B$4 * 12), 0))</f>
        <v/>
      </c>
      <c r="AJ463" s="47" t="str">
        <f>IF($A463="", "", $AI463 * Premissas!$B$12)</f>
        <v/>
      </c>
      <c r="AK463" s="47" t="str">
        <f t="shared" si="13"/>
        <v/>
      </c>
      <c r="AL463" s="47"/>
      <c r="AM463" s="47"/>
    </row>
    <row r="464" ht="15.75" customHeight="1">
      <c r="K464" s="47" t="str">
        <f>IF($A464="", "", IFERROR($E464 * ($I464/$B464) * Premissas!$B$6, 0))</f>
        <v/>
      </c>
      <c r="L464" s="47" t="str">
        <f>IF($A464="", "", IFERROR(($E464 * Premissas!$B$4 * ($I464/$B464) + $E463 * Premissas!$B$5 * ($I463/$B463)) * Premissas!$B$7, 0))</f>
        <v/>
      </c>
      <c r="AI464" s="47" t="str">
        <f>IF($A464="", "", IFERROR(($I464 * Premissas!$B$5) + ($E464 * ($I464/$B464) * Premissas!$B$4 * 12), 0))</f>
        <v/>
      </c>
      <c r="AJ464" s="47" t="str">
        <f>IF($A464="", "", $AI464 * Premissas!$B$12)</f>
        <v/>
      </c>
      <c r="AK464" s="47" t="str">
        <f t="shared" si="13"/>
        <v/>
      </c>
      <c r="AL464" s="47"/>
      <c r="AM464" s="47"/>
    </row>
    <row r="465" ht="15.75" customHeight="1">
      <c r="K465" s="47" t="str">
        <f>IF($A465="", "", IFERROR($E465 * ($I465/$B465) * Premissas!$B$6, 0))</f>
        <v/>
      </c>
      <c r="L465" s="47" t="str">
        <f>IF($A465="", "", IFERROR(($E465 * Premissas!$B$4 * ($I465/$B465) + $E464 * Premissas!$B$5 * ($I464/$B464)) * Premissas!$B$7, 0))</f>
        <v/>
      </c>
      <c r="AI465" s="47" t="str">
        <f>IF($A465="", "", IFERROR(($I465 * Premissas!$B$5) + ($E465 * ($I465/$B465) * Premissas!$B$4 * 12), 0))</f>
        <v/>
      </c>
      <c r="AJ465" s="47" t="str">
        <f>IF($A465="", "", $AI465 * Premissas!$B$12)</f>
        <v/>
      </c>
      <c r="AK465" s="47" t="str">
        <f t="shared" si="13"/>
        <v/>
      </c>
      <c r="AL465" s="47"/>
      <c r="AM465" s="47"/>
    </row>
    <row r="466" ht="15.75" customHeight="1">
      <c r="K466" s="47" t="str">
        <f>IF($A466="", "", IFERROR($E466 * ($I466/$B466) * Premissas!$B$6, 0))</f>
        <v/>
      </c>
      <c r="L466" s="47" t="str">
        <f>IF($A466="", "", IFERROR(($E466 * Premissas!$B$4 * ($I466/$B466) + $E465 * Premissas!$B$5 * ($I465/$B465)) * Premissas!$B$7, 0))</f>
        <v/>
      </c>
      <c r="AI466" s="47" t="str">
        <f>IF($A466="", "", IFERROR(($I466 * Premissas!$B$5) + ($E466 * ($I466/$B466) * Premissas!$B$4 * 12), 0))</f>
        <v/>
      </c>
      <c r="AJ466" s="47" t="str">
        <f>IF($A466="", "", $AI466 * Premissas!$B$12)</f>
        <v/>
      </c>
      <c r="AK466" s="47" t="str">
        <f t="shared" si="13"/>
        <v/>
      </c>
      <c r="AL466" s="47"/>
      <c r="AM466" s="47"/>
    </row>
    <row r="467" ht="15.75" customHeight="1">
      <c r="K467" s="47" t="str">
        <f>IF($A467="", "", IFERROR($E467 * ($I467/$B467) * Premissas!$B$6, 0))</f>
        <v/>
      </c>
      <c r="L467" s="47" t="str">
        <f>IF($A467="", "", IFERROR(($E467 * Premissas!$B$4 * ($I467/$B467) + $E466 * Premissas!$B$5 * ($I466/$B466)) * Premissas!$B$7, 0))</f>
        <v/>
      </c>
      <c r="AI467" s="47" t="str">
        <f>IF($A467="", "", IFERROR(($I467 * Premissas!$B$5) + ($E467 * ($I467/$B467) * Premissas!$B$4 * 12), 0))</f>
        <v/>
      </c>
      <c r="AJ467" s="47" t="str">
        <f>IF($A467="", "", $AI467 * Premissas!$B$12)</f>
        <v/>
      </c>
      <c r="AK467" s="47" t="str">
        <f t="shared" si="13"/>
        <v/>
      </c>
      <c r="AL467" s="47"/>
      <c r="AM467" s="47"/>
    </row>
    <row r="468" ht="15.75" customHeight="1">
      <c r="K468" s="47" t="str">
        <f>IF($A468="", "", IFERROR($E468 * ($I468/$B468) * Premissas!$B$6, 0))</f>
        <v/>
      </c>
      <c r="L468" s="47" t="str">
        <f>IF($A468="", "", IFERROR(($E468 * Premissas!$B$4 * ($I468/$B468) + $E467 * Premissas!$B$5 * ($I467/$B467)) * Premissas!$B$7, 0))</f>
        <v/>
      </c>
      <c r="AI468" s="47" t="str">
        <f>IF($A468="", "", IFERROR(($I468 * Premissas!$B$5) + ($E468 * ($I468/$B468) * Premissas!$B$4 * 12), 0))</f>
        <v/>
      </c>
      <c r="AJ468" s="47" t="str">
        <f>IF($A468="", "", $AI468 * Premissas!$B$12)</f>
        <v/>
      </c>
      <c r="AK468" s="47" t="str">
        <f t="shared" si="13"/>
        <v/>
      </c>
      <c r="AL468" s="47"/>
      <c r="AM468" s="47"/>
    </row>
    <row r="469" ht="15.75" customHeight="1">
      <c r="K469" s="47" t="str">
        <f>IF($A469="", "", IFERROR($E469 * ($I469/$B469) * Premissas!$B$6, 0))</f>
        <v/>
      </c>
      <c r="L469" s="47" t="str">
        <f>IF($A469="", "", IFERROR(($E469 * Premissas!$B$4 * ($I469/$B469) + $E468 * Premissas!$B$5 * ($I468/$B468)) * Premissas!$B$7, 0))</f>
        <v/>
      </c>
      <c r="AI469" s="47" t="str">
        <f>IF($A469="", "", IFERROR(($I469 * Premissas!$B$5) + ($E469 * ($I469/$B469) * Premissas!$B$4 * 12), 0))</f>
        <v/>
      </c>
      <c r="AJ469" s="47" t="str">
        <f>IF($A469="", "", $AI469 * Premissas!$B$12)</f>
        <v/>
      </c>
      <c r="AK469" s="47" t="str">
        <f t="shared" si="13"/>
        <v/>
      </c>
      <c r="AL469" s="47"/>
      <c r="AM469" s="47"/>
    </row>
    <row r="470" ht="15.75" customHeight="1">
      <c r="K470" s="47" t="str">
        <f>IF($A470="", "", IFERROR($E470 * ($I470/$B470) * Premissas!$B$6, 0))</f>
        <v/>
      </c>
      <c r="L470" s="47" t="str">
        <f>IF($A470="", "", IFERROR(($E470 * Premissas!$B$4 * ($I470/$B470) + $E469 * Premissas!$B$5 * ($I469/$B469)) * Premissas!$B$7, 0))</f>
        <v/>
      </c>
      <c r="AI470" s="47" t="str">
        <f>IF($A470="", "", IFERROR(($I470 * Premissas!$B$5) + ($E470 * ($I470/$B470) * Premissas!$B$4 * 12), 0))</f>
        <v/>
      </c>
      <c r="AJ470" s="47" t="str">
        <f>IF($A470="", "", $AI470 * Premissas!$B$12)</f>
        <v/>
      </c>
      <c r="AK470" s="47" t="str">
        <f t="shared" si="13"/>
        <v/>
      </c>
      <c r="AL470" s="47"/>
      <c r="AM470" s="47"/>
    </row>
    <row r="471" ht="15.75" customHeight="1">
      <c r="K471" s="47" t="str">
        <f>IF($A471="", "", IFERROR($E471 * ($I471/$B471) * Premissas!$B$6, 0))</f>
        <v/>
      </c>
      <c r="L471" s="47" t="str">
        <f>IF($A471="", "", IFERROR(($E471 * Premissas!$B$4 * ($I471/$B471) + $E470 * Premissas!$B$5 * ($I470/$B470)) * Premissas!$B$7, 0))</f>
        <v/>
      </c>
      <c r="AI471" s="47" t="str">
        <f>IF($A471="", "", IFERROR(($I471 * Premissas!$B$5) + ($E471 * ($I471/$B471) * Premissas!$B$4 * 12), 0))</f>
        <v/>
      </c>
      <c r="AJ471" s="47" t="str">
        <f>IF($A471="", "", $AI471 * Premissas!$B$12)</f>
        <v/>
      </c>
      <c r="AK471" s="47" t="str">
        <f t="shared" si="13"/>
        <v/>
      </c>
      <c r="AL471" s="47"/>
      <c r="AM471" s="47"/>
    </row>
    <row r="472" ht="15.75" customHeight="1">
      <c r="K472" s="47" t="str">
        <f>IF($A472="", "", IFERROR($E472 * ($I472/$B472) * Premissas!$B$6, 0))</f>
        <v/>
      </c>
      <c r="L472" s="47" t="str">
        <f>IF($A472="", "", IFERROR(($E472 * Premissas!$B$4 * ($I472/$B472) + $E471 * Premissas!$B$5 * ($I471/$B471)) * Premissas!$B$7, 0))</f>
        <v/>
      </c>
      <c r="AI472" s="47" t="str">
        <f>IF($A472="", "", IFERROR(($I472 * Premissas!$B$5) + ($E472 * ($I472/$B472) * Premissas!$B$4 * 12), 0))</f>
        <v/>
      </c>
      <c r="AJ472" s="47" t="str">
        <f>IF($A472="", "", $AI472 * Premissas!$B$12)</f>
        <v/>
      </c>
      <c r="AK472" s="47" t="str">
        <f t="shared" si="13"/>
        <v/>
      </c>
      <c r="AL472" s="47"/>
      <c r="AM472" s="47"/>
    </row>
    <row r="473" ht="15.75" customHeight="1">
      <c r="K473" s="47" t="str">
        <f>IF($A473="", "", IFERROR($E473 * ($I473/$B473) * Premissas!$B$6, 0))</f>
        <v/>
      </c>
      <c r="L473" s="47" t="str">
        <f>IF($A473="", "", IFERROR(($E473 * Premissas!$B$4 * ($I473/$B473) + $E472 * Premissas!$B$5 * ($I472/$B472)) * Premissas!$B$7, 0))</f>
        <v/>
      </c>
      <c r="AI473" s="47" t="str">
        <f>IF($A473="", "", IFERROR(($I473 * Premissas!$B$5) + ($E473 * ($I473/$B473) * Premissas!$B$4 * 12), 0))</f>
        <v/>
      </c>
      <c r="AJ473" s="47" t="str">
        <f>IF($A473="", "", $AI473 * Premissas!$B$12)</f>
        <v/>
      </c>
      <c r="AK473" s="47" t="str">
        <f t="shared" si="13"/>
        <v/>
      </c>
      <c r="AL473" s="47"/>
      <c r="AM473" s="47"/>
    </row>
    <row r="474" ht="15.75" customHeight="1">
      <c r="K474" s="47" t="str">
        <f>IF($A474="", "", IFERROR($E474 * ($I474/$B474) * Premissas!$B$6, 0))</f>
        <v/>
      </c>
      <c r="L474" s="47" t="str">
        <f>IF($A474="", "", IFERROR(($E474 * Premissas!$B$4 * ($I474/$B474) + $E473 * Premissas!$B$5 * ($I473/$B473)) * Premissas!$B$7, 0))</f>
        <v/>
      </c>
      <c r="AI474" s="47" t="str">
        <f>IF($A474="", "", IFERROR(($I474 * Premissas!$B$5) + ($E474 * ($I474/$B474) * Premissas!$B$4 * 12), 0))</f>
        <v/>
      </c>
      <c r="AJ474" s="47" t="str">
        <f>IF($A474="", "", $AI474 * Premissas!$B$12)</f>
        <v/>
      </c>
      <c r="AK474" s="47" t="str">
        <f t="shared" si="13"/>
        <v/>
      </c>
      <c r="AL474" s="47"/>
      <c r="AM474" s="47"/>
    </row>
    <row r="475" ht="15.75" customHeight="1">
      <c r="K475" s="47" t="str">
        <f>IF($A475="", "", IFERROR($E475 * ($I475/$B475) * Premissas!$B$6, 0))</f>
        <v/>
      </c>
      <c r="L475" s="47" t="str">
        <f>IF($A475="", "", IFERROR(($E475 * Premissas!$B$4 * ($I475/$B475) + $E474 * Premissas!$B$5 * ($I474/$B474)) * Premissas!$B$7, 0))</f>
        <v/>
      </c>
      <c r="AI475" s="47" t="str">
        <f>IF($A475="", "", IFERROR(($I475 * Premissas!$B$5) + ($E475 * ($I475/$B475) * Premissas!$B$4 * 12), 0))</f>
        <v/>
      </c>
      <c r="AJ475" s="47" t="str">
        <f>IF($A475="", "", $AI475 * Premissas!$B$12)</f>
        <v/>
      </c>
      <c r="AK475" s="47" t="str">
        <f t="shared" si="13"/>
        <v/>
      </c>
      <c r="AL475" s="47"/>
      <c r="AM475" s="47"/>
    </row>
    <row r="476" ht="15.75" customHeight="1">
      <c r="K476" s="47" t="str">
        <f>IF($A476="", "", IFERROR($E476 * ($I476/$B476) * Premissas!$B$6, 0))</f>
        <v/>
      </c>
      <c r="L476" s="47" t="str">
        <f>IF($A476="", "", IFERROR(($E476 * Premissas!$B$4 * ($I476/$B476) + $E475 * Premissas!$B$5 * ($I475/$B475)) * Premissas!$B$7, 0))</f>
        <v/>
      </c>
      <c r="AI476" s="47" t="str">
        <f>IF($A476="", "", IFERROR(($I476 * Premissas!$B$5) + ($E476 * ($I476/$B476) * Premissas!$B$4 * 12), 0))</f>
        <v/>
      </c>
      <c r="AJ476" s="47" t="str">
        <f>IF($A476="", "", $AI476 * Premissas!$B$12)</f>
        <v/>
      </c>
      <c r="AK476" s="47" t="str">
        <f t="shared" si="13"/>
        <v/>
      </c>
      <c r="AL476" s="47"/>
      <c r="AM476" s="47"/>
    </row>
    <row r="477" ht="15.75" customHeight="1">
      <c r="K477" s="47" t="str">
        <f>IF($A477="", "", IFERROR($E477 * ($I477/$B477) * Premissas!$B$6, 0))</f>
        <v/>
      </c>
      <c r="L477" s="47" t="str">
        <f>IF($A477="", "", IFERROR(($E477 * Premissas!$B$4 * ($I477/$B477) + $E476 * Premissas!$B$5 * ($I476/$B476)) * Premissas!$B$7, 0))</f>
        <v/>
      </c>
      <c r="AI477" s="47" t="str">
        <f>IF($A477="", "", IFERROR(($I477 * Premissas!$B$5) + ($E477 * ($I477/$B477) * Premissas!$B$4 * 12), 0))</f>
        <v/>
      </c>
      <c r="AJ477" s="47" t="str">
        <f>IF($A477="", "", $AI477 * Premissas!$B$12)</f>
        <v/>
      </c>
      <c r="AK477" s="47" t="str">
        <f t="shared" si="13"/>
        <v/>
      </c>
      <c r="AL477" s="47"/>
      <c r="AM477" s="47"/>
    </row>
    <row r="478" ht="15.75" customHeight="1">
      <c r="K478" s="47" t="str">
        <f>IF($A478="", "", IFERROR($E478 * ($I478/$B478) * Premissas!$B$6, 0))</f>
        <v/>
      </c>
      <c r="L478" s="47" t="str">
        <f>IF($A478="", "", IFERROR(($E478 * Premissas!$B$4 * ($I478/$B478) + $E477 * Premissas!$B$5 * ($I477/$B477)) * Premissas!$B$7, 0))</f>
        <v/>
      </c>
      <c r="AI478" s="47" t="str">
        <f>IF($A478="", "", IFERROR(($I478 * Premissas!$B$5) + ($E478 * ($I478/$B478) * Premissas!$B$4 * 12), 0))</f>
        <v/>
      </c>
      <c r="AJ478" s="47" t="str">
        <f>IF($A478="", "", $AI478 * Premissas!$B$12)</f>
        <v/>
      </c>
      <c r="AK478" s="47" t="str">
        <f t="shared" si="13"/>
        <v/>
      </c>
      <c r="AL478" s="47"/>
      <c r="AM478" s="47"/>
    </row>
    <row r="479" ht="15.75" customHeight="1">
      <c r="K479" s="47" t="str">
        <f>IF($A479="", "", IFERROR($E479 * ($I479/$B479) * Premissas!$B$6, 0))</f>
        <v/>
      </c>
      <c r="L479" s="47" t="str">
        <f>IF($A479="", "", IFERROR(($E479 * Premissas!$B$4 * ($I479/$B479) + $E478 * Premissas!$B$5 * ($I478/$B478)) * Premissas!$B$7, 0))</f>
        <v/>
      </c>
      <c r="AI479" s="47" t="str">
        <f>IF($A479="", "", IFERROR(($I479 * Premissas!$B$5) + ($E479 * ($I479/$B479) * Premissas!$B$4 * 12), 0))</f>
        <v/>
      </c>
      <c r="AJ479" s="47" t="str">
        <f>IF($A479="", "", $AI479 * Premissas!$B$12)</f>
        <v/>
      </c>
      <c r="AK479" s="47" t="str">
        <f t="shared" si="13"/>
        <v/>
      </c>
      <c r="AL479" s="47"/>
      <c r="AM479" s="47"/>
    </row>
    <row r="480" ht="15.75" customHeight="1">
      <c r="K480" s="47" t="str">
        <f>IF($A480="", "", IFERROR($E480 * ($I480/$B480) * Premissas!$B$6, 0))</f>
        <v/>
      </c>
      <c r="L480" s="47" t="str">
        <f>IF($A480="", "", IFERROR(($E480 * Premissas!$B$4 * ($I480/$B480) + $E479 * Premissas!$B$5 * ($I479/$B479)) * Premissas!$B$7, 0))</f>
        <v/>
      </c>
      <c r="AI480" s="47" t="str">
        <f>IF($A480="", "", IFERROR(($I480 * Premissas!$B$5) + ($E480 * ($I480/$B480) * Premissas!$B$4 * 12), 0))</f>
        <v/>
      </c>
      <c r="AJ480" s="47" t="str">
        <f>IF($A480="", "", $AI480 * Premissas!$B$12)</f>
        <v/>
      </c>
      <c r="AK480" s="47" t="str">
        <f t="shared" si="13"/>
        <v/>
      </c>
      <c r="AL480" s="47"/>
      <c r="AM480" s="47"/>
    </row>
    <row r="481" ht="15.75" customHeight="1">
      <c r="K481" s="47" t="str">
        <f>IF($A481="", "", IFERROR($E481 * ($I481/$B481) * Premissas!$B$6, 0))</f>
        <v/>
      </c>
      <c r="L481" s="47" t="str">
        <f>IF($A481="", "", IFERROR(($E481 * Premissas!$B$4 * ($I481/$B481) + $E480 * Premissas!$B$5 * ($I480/$B480)) * Premissas!$B$7, 0))</f>
        <v/>
      </c>
      <c r="AI481" s="47" t="str">
        <f>IF($A481="", "", IFERROR(($I481 * Premissas!$B$5) + ($E481 * ($I481/$B481) * Premissas!$B$4 * 12), 0))</f>
        <v/>
      </c>
      <c r="AJ481" s="47" t="str">
        <f>IF($A481="", "", $AI481 * Premissas!$B$12)</f>
        <v/>
      </c>
      <c r="AK481" s="47" t="str">
        <f t="shared" si="13"/>
        <v/>
      </c>
      <c r="AL481" s="47"/>
      <c r="AM481" s="47"/>
    </row>
    <row r="482" ht="15.75" customHeight="1">
      <c r="K482" s="47" t="str">
        <f>IF($A482="", "", IFERROR($E482 * ($I482/$B482) * Premissas!$B$6, 0))</f>
        <v/>
      </c>
      <c r="L482" s="47" t="str">
        <f>IF($A482="", "", IFERROR(($E482 * Premissas!$B$4 * ($I482/$B482) + $E481 * Premissas!$B$5 * ($I481/$B481)) * Premissas!$B$7, 0))</f>
        <v/>
      </c>
      <c r="AI482" s="47" t="str">
        <f>IF($A482="", "", IFERROR(($I482 * Premissas!$B$5) + ($E482 * ($I482/$B482) * Premissas!$B$4 * 12), 0))</f>
        <v/>
      </c>
      <c r="AJ482" s="47" t="str">
        <f>IF($A482="", "", $AI482 * Premissas!$B$12)</f>
        <v/>
      </c>
      <c r="AK482" s="47" t="str">
        <f t="shared" si="13"/>
        <v/>
      </c>
      <c r="AL482" s="47"/>
      <c r="AM482" s="47"/>
    </row>
    <row r="483" ht="15.75" customHeight="1">
      <c r="K483" s="47" t="str">
        <f>IF($A483="", "", IFERROR($E483 * ($I483/$B483) * Premissas!$B$6, 0))</f>
        <v/>
      </c>
      <c r="L483" s="47" t="str">
        <f>IF($A483="", "", IFERROR(($E483 * Premissas!$B$4 * ($I483/$B483) + $E482 * Premissas!$B$5 * ($I482/$B482)) * Premissas!$B$7, 0))</f>
        <v/>
      </c>
      <c r="AI483" s="47" t="str">
        <f>IF($A483="", "", IFERROR(($I483 * Premissas!$B$5) + ($E483 * ($I483/$B483) * Premissas!$B$4 * 12), 0))</f>
        <v/>
      </c>
      <c r="AJ483" s="47" t="str">
        <f>IF($A483="", "", $AI483 * Premissas!$B$12)</f>
        <v/>
      </c>
      <c r="AK483" s="47" t="str">
        <f t="shared" si="13"/>
        <v/>
      </c>
      <c r="AL483" s="47"/>
      <c r="AM483" s="47"/>
    </row>
    <row r="484" ht="15.75" customHeight="1">
      <c r="K484" s="47" t="str">
        <f>IF($A484="", "", IFERROR($E484 * ($I484/$B484) * Premissas!$B$6, 0))</f>
        <v/>
      </c>
      <c r="L484" s="47" t="str">
        <f>IF($A484="", "", IFERROR(($E484 * Premissas!$B$4 * ($I484/$B484) + $E483 * Premissas!$B$5 * ($I483/$B483)) * Premissas!$B$7, 0))</f>
        <v/>
      </c>
      <c r="AI484" s="47" t="str">
        <f>IF($A484="", "", IFERROR(($I484 * Premissas!$B$5) + ($E484 * ($I484/$B484) * Premissas!$B$4 * 12), 0))</f>
        <v/>
      </c>
      <c r="AJ484" s="47" t="str">
        <f>IF($A484="", "", $AI484 * Premissas!$B$12)</f>
        <v/>
      </c>
      <c r="AK484" s="47" t="str">
        <f t="shared" si="13"/>
        <v/>
      </c>
      <c r="AL484" s="47"/>
      <c r="AM484" s="47"/>
    </row>
    <row r="485" ht="15.75" customHeight="1">
      <c r="K485" s="47" t="str">
        <f>IF($A485="", "", IFERROR($E485 * ($I485/$B485) * Premissas!$B$6, 0))</f>
        <v/>
      </c>
      <c r="L485" s="47" t="str">
        <f>IF($A485="", "", IFERROR(($E485 * Premissas!$B$4 * ($I485/$B485) + $E484 * Premissas!$B$5 * ($I484/$B484)) * Premissas!$B$7, 0))</f>
        <v/>
      </c>
      <c r="AI485" s="47" t="str">
        <f>IF($A485="", "", IFERROR(($I485 * Premissas!$B$5) + ($E485 * ($I485/$B485) * Premissas!$B$4 * 12), 0))</f>
        <v/>
      </c>
      <c r="AJ485" s="47" t="str">
        <f>IF($A485="", "", $AI485 * Premissas!$B$12)</f>
        <v/>
      </c>
      <c r="AK485" s="47" t="str">
        <f t="shared" si="13"/>
        <v/>
      </c>
      <c r="AL485" s="47"/>
      <c r="AM485" s="47"/>
    </row>
    <row r="486" ht="15.75" customHeight="1">
      <c r="K486" s="47" t="str">
        <f>IF($A486="", "", IFERROR($E486 * ($I486/$B486) * Premissas!$B$6, 0))</f>
        <v/>
      </c>
      <c r="L486" s="47" t="str">
        <f>IF($A486="", "", IFERROR(($E486 * Premissas!$B$4 * ($I486/$B486) + $E485 * Premissas!$B$5 * ($I485/$B485)) * Premissas!$B$7, 0))</f>
        <v/>
      </c>
      <c r="AI486" s="47" t="str">
        <f>IF($A486="", "", IFERROR(($I486 * Premissas!$B$5) + ($E486 * ($I486/$B486) * Premissas!$B$4 * 12), 0))</f>
        <v/>
      </c>
      <c r="AJ486" s="47" t="str">
        <f>IF($A486="", "", $AI486 * Premissas!$B$12)</f>
        <v/>
      </c>
      <c r="AK486" s="47" t="str">
        <f t="shared" si="13"/>
        <v/>
      </c>
      <c r="AL486" s="47"/>
      <c r="AM486" s="47"/>
    </row>
    <row r="487" ht="15.75" customHeight="1">
      <c r="K487" s="47" t="str">
        <f>IF($A487="", "", IFERROR($E487 * ($I487/$B487) * Premissas!$B$6, 0))</f>
        <v/>
      </c>
      <c r="L487" s="47" t="str">
        <f>IF($A487="", "", IFERROR(($E487 * Premissas!$B$4 * ($I487/$B487) + $E486 * Premissas!$B$5 * ($I486/$B486)) * Premissas!$B$7, 0))</f>
        <v/>
      </c>
      <c r="AI487" s="47" t="str">
        <f>IF($A487="", "", IFERROR(($I487 * Premissas!$B$5) + ($E487 * ($I487/$B487) * Premissas!$B$4 * 12), 0))</f>
        <v/>
      </c>
      <c r="AJ487" s="47" t="str">
        <f>IF($A487="", "", $AI487 * Premissas!$B$12)</f>
        <v/>
      </c>
      <c r="AK487" s="47" t="str">
        <f t="shared" si="13"/>
        <v/>
      </c>
      <c r="AL487" s="47"/>
      <c r="AM487" s="47"/>
    </row>
    <row r="488" ht="15.75" customHeight="1">
      <c r="K488" s="47" t="str">
        <f>IF($A488="", "", IFERROR($E488 * ($I488/$B488) * Premissas!$B$6, 0))</f>
        <v/>
      </c>
      <c r="L488" s="47" t="str">
        <f>IF($A488="", "", IFERROR(($E488 * Premissas!$B$4 * ($I488/$B488) + $E487 * Premissas!$B$5 * ($I487/$B487)) * Premissas!$B$7, 0))</f>
        <v/>
      </c>
      <c r="AI488" s="47" t="str">
        <f>IF($A488="", "", IFERROR(($I488 * Premissas!$B$5) + ($E488 * ($I488/$B488) * Premissas!$B$4 * 12), 0))</f>
        <v/>
      </c>
      <c r="AJ488" s="47" t="str">
        <f>IF($A488="", "", $AI488 * Premissas!$B$12)</f>
        <v/>
      </c>
      <c r="AK488" s="47" t="str">
        <f t="shared" si="13"/>
        <v/>
      </c>
      <c r="AL488" s="47"/>
      <c r="AM488" s="47"/>
    </row>
    <row r="489" ht="15.75" customHeight="1">
      <c r="K489" s="47" t="str">
        <f>IF($A489="", "", IFERROR($E489 * ($I489/$B489) * Premissas!$B$6, 0))</f>
        <v/>
      </c>
      <c r="L489" s="47" t="str">
        <f>IF($A489="", "", IFERROR(($E489 * Premissas!$B$4 * ($I489/$B489) + $E488 * Premissas!$B$5 * ($I488/$B488)) * Premissas!$B$7, 0))</f>
        <v/>
      </c>
      <c r="AI489" s="47" t="str">
        <f>IF($A489="", "", IFERROR(($I489 * Premissas!$B$5) + ($E489 * ($I489/$B489) * Premissas!$B$4 * 12), 0))</f>
        <v/>
      </c>
      <c r="AJ489" s="47" t="str">
        <f>IF($A489="", "", $AI489 * Premissas!$B$12)</f>
        <v/>
      </c>
      <c r="AK489" s="47" t="str">
        <f t="shared" si="13"/>
        <v/>
      </c>
      <c r="AL489" s="47"/>
      <c r="AM489" s="47"/>
    </row>
    <row r="490" ht="15.75" customHeight="1">
      <c r="K490" s="47" t="str">
        <f>IF($A490="", "", IFERROR($E490 * ($I490/$B490) * Premissas!$B$6, 0))</f>
        <v/>
      </c>
      <c r="L490" s="47" t="str">
        <f>IF($A490="", "", IFERROR(($E490 * Premissas!$B$4 * ($I490/$B490) + $E489 * Premissas!$B$5 * ($I489/$B489)) * Premissas!$B$7, 0))</f>
        <v/>
      </c>
      <c r="AI490" s="47" t="str">
        <f>IF($A490="", "", IFERROR(($I490 * Premissas!$B$5) + ($E490 * ($I490/$B490) * Premissas!$B$4 * 12), 0))</f>
        <v/>
      </c>
      <c r="AJ490" s="47" t="str">
        <f>IF($A490="", "", $AI490 * Premissas!$B$12)</f>
        <v/>
      </c>
      <c r="AK490" s="47" t="str">
        <f t="shared" si="13"/>
        <v/>
      </c>
      <c r="AL490" s="47"/>
      <c r="AM490" s="47"/>
    </row>
    <row r="491" ht="15.75" customHeight="1">
      <c r="K491" s="47" t="str">
        <f>IF($A491="", "", IFERROR($E491 * ($I491/$B491) * Premissas!$B$6, 0))</f>
        <v/>
      </c>
      <c r="L491" s="47" t="str">
        <f>IF($A491="", "", IFERROR(($E491 * Premissas!$B$4 * ($I491/$B491) + $E490 * Premissas!$B$5 * ($I490/$B490)) * Premissas!$B$7, 0))</f>
        <v/>
      </c>
      <c r="AI491" s="47" t="str">
        <f>IF($A491="", "", IFERROR(($I491 * Premissas!$B$5) + ($E491 * ($I491/$B491) * Premissas!$B$4 * 12), 0))</f>
        <v/>
      </c>
      <c r="AJ491" s="47" t="str">
        <f>IF($A491="", "", $AI491 * Premissas!$B$12)</f>
        <v/>
      </c>
      <c r="AK491" s="47" t="str">
        <f t="shared" si="13"/>
        <v/>
      </c>
      <c r="AL491" s="47"/>
      <c r="AM491" s="47"/>
    </row>
    <row r="492" ht="15.75" customHeight="1">
      <c r="K492" s="47" t="str">
        <f>IF($A492="", "", IFERROR($E492 * ($I492/$B492) * Premissas!$B$6, 0))</f>
        <v/>
      </c>
      <c r="L492" s="47" t="str">
        <f>IF($A492="", "", IFERROR(($E492 * Premissas!$B$4 * ($I492/$B492) + $E491 * Premissas!$B$5 * ($I491/$B491)) * Premissas!$B$7, 0))</f>
        <v/>
      </c>
      <c r="AI492" s="47" t="str">
        <f>IF($A492="", "", IFERROR(($I492 * Premissas!$B$5) + ($E492 * ($I492/$B492) * Premissas!$B$4 * 12), 0))</f>
        <v/>
      </c>
      <c r="AJ492" s="47" t="str">
        <f>IF($A492="", "", $AI492 * Premissas!$B$12)</f>
        <v/>
      </c>
      <c r="AK492" s="47" t="str">
        <f t="shared" si="13"/>
        <v/>
      </c>
      <c r="AL492" s="47"/>
      <c r="AM492" s="47"/>
    </row>
    <row r="493" ht="15.75" customHeight="1">
      <c r="K493" s="47" t="str">
        <f>IF($A493="", "", IFERROR($E493 * ($I493/$B493) * Premissas!$B$6, 0))</f>
        <v/>
      </c>
      <c r="L493" s="47" t="str">
        <f>IF($A493="", "", IFERROR(($E493 * Premissas!$B$4 * ($I493/$B493) + $E492 * Premissas!$B$5 * ($I492/$B492)) * Premissas!$B$7, 0))</f>
        <v/>
      </c>
      <c r="AI493" s="47" t="str">
        <f>IF($A493="", "", IFERROR(($I493 * Premissas!$B$5) + ($E493 * ($I493/$B493) * Premissas!$B$4 * 12), 0))</f>
        <v/>
      </c>
      <c r="AJ493" s="47" t="str">
        <f>IF($A493="", "", $AI493 * Premissas!$B$12)</f>
        <v/>
      </c>
      <c r="AK493" s="47" t="str">
        <f t="shared" si="13"/>
        <v/>
      </c>
      <c r="AL493" s="47"/>
      <c r="AM493" s="47"/>
    </row>
    <row r="494" ht="15.75" customHeight="1">
      <c r="K494" s="47" t="str">
        <f>IF($A494="", "", IFERROR($E494 * ($I494/$B494) * Premissas!$B$6, 0))</f>
        <v/>
      </c>
      <c r="L494" s="47" t="str">
        <f>IF($A494="", "", IFERROR(($E494 * Premissas!$B$4 * ($I494/$B494) + $E493 * Premissas!$B$5 * ($I493/$B493)) * Premissas!$B$7, 0))</f>
        <v/>
      </c>
      <c r="AI494" s="47" t="str">
        <f>IF($A494="", "", IFERROR(($I494 * Premissas!$B$5) + ($E494 * ($I494/$B494) * Premissas!$B$4 * 12), 0))</f>
        <v/>
      </c>
      <c r="AJ494" s="47" t="str">
        <f>IF($A494="", "", $AI494 * Premissas!$B$12)</f>
        <v/>
      </c>
      <c r="AK494" s="47" t="str">
        <f t="shared" si="13"/>
        <v/>
      </c>
      <c r="AL494" s="47"/>
      <c r="AM494" s="47"/>
    </row>
    <row r="495" ht="15.75" customHeight="1">
      <c r="K495" s="47" t="str">
        <f>IF($A495="", "", IFERROR($E495 * ($I495/$B495) * Premissas!$B$6, 0))</f>
        <v/>
      </c>
      <c r="L495" s="47" t="str">
        <f>IF($A495="", "", IFERROR(($E495 * Premissas!$B$4 * ($I495/$B495) + $E494 * Premissas!$B$5 * ($I494/$B494)) * Premissas!$B$7, 0))</f>
        <v/>
      </c>
      <c r="AI495" s="47" t="str">
        <f>IF($A495="", "", IFERROR(($I495 * Premissas!$B$5) + ($E495 * ($I495/$B495) * Premissas!$B$4 * 12), 0))</f>
        <v/>
      </c>
      <c r="AJ495" s="47" t="str">
        <f>IF($A495="", "", $AI495 * Premissas!$B$12)</f>
        <v/>
      </c>
      <c r="AK495" s="47" t="str">
        <f t="shared" si="13"/>
        <v/>
      </c>
      <c r="AL495" s="47"/>
      <c r="AM495" s="47"/>
    </row>
    <row r="496" ht="15.75" customHeight="1">
      <c r="K496" s="47" t="str">
        <f>IF($A496="", "", IFERROR($E496 * ($I496/$B496) * Premissas!$B$6, 0))</f>
        <v/>
      </c>
      <c r="L496" s="47" t="str">
        <f>IF($A496="", "", IFERROR(($E496 * Premissas!$B$4 * ($I496/$B496) + $E495 * Premissas!$B$5 * ($I495/$B495)) * Premissas!$B$7, 0))</f>
        <v/>
      </c>
      <c r="AI496" s="47" t="str">
        <f>IF($A496="", "", IFERROR(($I496 * Premissas!$B$5) + ($E496 * ($I496/$B496) * Premissas!$B$4 * 12), 0))</f>
        <v/>
      </c>
      <c r="AJ496" s="47" t="str">
        <f>IF($A496="", "", $AI496 * Premissas!$B$12)</f>
        <v/>
      </c>
      <c r="AK496" s="47" t="str">
        <f t="shared" si="13"/>
        <v/>
      </c>
      <c r="AL496" s="47"/>
      <c r="AM496" s="47"/>
    </row>
    <row r="497" ht="15.75" customHeight="1">
      <c r="K497" s="47" t="str">
        <f>IF($A497="", "", IFERROR($E497 * ($I497/$B497) * Premissas!$B$6, 0))</f>
        <v/>
      </c>
      <c r="L497" s="47" t="str">
        <f>IF($A497="", "", IFERROR(($E497 * Premissas!$B$4 * ($I497/$B497) + $E496 * Premissas!$B$5 * ($I496/$B496)) * Premissas!$B$7, 0))</f>
        <v/>
      </c>
      <c r="AI497" s="47" t="str">
        <f>IF($A497="", "", IFERROR(($I497 * Premissas!$B$5) + ($E497 * ($I497/$B497) * Premissas!$B$4 * 12), 0))</f>
        <v/>
      </c>
      <c r="AJ497" s="47" t="str">
        <f>IF($A497="", "", $AI497 * Premissas!$B$12)</f>
        <v/>
      </c>
      <c r="AK497" s="47" t="str">
        <f t="shared" si="13"/>
        <v/>
      </c>
      <c r="AL497" s="47"/>
      <c r="AM497" s="47"/>
    </row>
    <row r="498" ht="15.75" customHeight="1">
      <c r="K498" s="47" t="str">
        <f>IF($A498="", "", IFERROR($E498 * ($I498/$B498) * Premissas!$B$6, 0))</f>
        <v/>
      </c>
      <c r="L498" s="47" t="str">
        <f>IF($A498="", "", IFERROR(($E498 * Premissas!$B$4 * ($I498/$B498) + $E497 * Premissas!$B$5 * ($I497/$B497)) * Premissas!$B$7, 0))</f>
        <v/>
      </c>
      <c r="AI498" s="47" t="str">
        <f>IF($A498="", "", IFERROR(($I498 * Premissas!$B$5) + ($E498 * ($I498/$B498) * Premissas!$B$4 * 12), 0))</f>
        <v/>
      </c>
      <c r="AJ498" s="47" t="str">
        <f>IF($A498="", "", $AI498 * Premissas!$B$12)</f>
        <v/>
      </c>
      <c r="AK498" s="47" t="str">
        <f t="shared" si="13"/>
        <v/>
      </c>
      <c r="AL498" s="47"/>
      <c r="AM498" s="47"/>
    </row>
    <row r="499" ht="15.75" customHeight="1">
      <c r="K499" s="47" t="str">
        <f>IF($A499="", "", IFERROR($E499 * ($I499/$B499) * Premissas!$B$6, 0))</f>
        <v/>
      </c>
      <c r="L499" s="47" t="str">
        <f>IF($A499="", "", IFERROR(($E499 * Premissas!$B$4 * ($I499/$B499) + $E498 * Premissas!$B$5 * ($I498/$B498)) * Premissas!$B$7, 0))</f>
        <v/>
      </c>
      <c r="AI499" s="47" t="str">
        <f>IF($A499="", "", IFERROR(($I499 * Premissas!$B$5) + ($E499 * ($I499/$B499) * Premissas!$B$4 * 12), 0))</f>
        <v/>
      </c>
      <c r="AJ499" s="47" t="str">
        <f>IF($A499="", "", $AI499 * Premissas!$B$12)</f>
        <v/>
      </c>
      <c r="AK499" s="47" t="str">
        <f t="shared" si="13"/>
        <v/>
      </c>
      <c r="AL499" s="47"/>
      <c r="AM499" s="47"/>
    </row>
    <row r="500" ht="15.75" customHeight="1">
      <c r="K500" s="47" t="str">
        <f>IF($A500="", "", IFERROR($E500 * ($I500/$B500) * Premissas!$B$6, 0))</f>
        <v/>
      </c>
      <c r="L500" s="47" t="str">
        <f>IF($A500="", "", IFERROR(($E500 * Premissas!$B$4 * ($I500/$B500) + $E499 * Premissas!$B$5 * ($I499/$B499)) * Premissas!$B$7, 0))</f>
        <v/>
      </c>
      <c r="AI500" s="47" t="str">
        <f>IF($A500="", "", IFERROR(($I500 * Premissas!$B$5) + ($E500 * ($I500/$B500) * Premissas!$B$4 * 12), 0))</f>
        <v/>
      </c>
      <c r="AJ500" s="47" t="str">
        <f>IF($A500="", "", $AI500 * Premissas!$B$12)</f>
        <v/>
      </c>
      <c r="AK500" s="47" t="str">
        <f t="shared" si="13"/>
        <v/>
      </c>
      <c r="AL500" s="47"/>
      <c r="AM500" s="47"/>
    </row>
    <row r="501" ht="15.75" customHeight="1">
      <c r="K501" s="47" t="str">
        <f>IF($A501="", "", IFERROR($E501 * ($I501/$B501) * Premissas!$B$6, 0))</f>
        <v/>
      </c>
      <c r="L501" s="47" t="str">
        <f>IF($A501="", "", IFERROR(($E501 * Premissas!$B$4 * ($I501/$B501) + $E500 * Premissas!$B$5 * ($I500/$B500)) * Premissas!$B$7, 0))</f>
        <v/>
      </c>
      <c r="AI501" s="47" t="str">
        <f>IF($A501="", "", IFERROR(($I501 * Premissas!$B$5) + ($E501 * ($I501/$B501) * Premissas!$B$4 * 12), 0))</f>
        <v/>
      </c>
      <c r="AJ501" s="47" t="str">
        <f>IF($A501="", "", $AI501 * Premissas!$B$12)</f>
        <v/>
      </c>
      <c r="AK501" s="47" t="str">
        <f t="shared" si="13"/>
        <v/>
      </c>
      <c r="AL501" s="47"/>
      <c r="AM501" s="47"/>
    </row>
    <row r="502" ht="15.75" customHeight="1">
      <c r="K502" s="47" t="str">
        <f>IF($A502="", "", IFERROR($E502 * ($I502/$B502) * Premissas!$B$6, 0))</f>
        <v/>
      </c>
      <c r="L502" s="47" t="str">
        <f>IF($A502="", "", IFERROR(($E502 * Premissas!$B$4 * ($I502/$B502) + $E501 * Premissas!$B$5 * ($I501/$B501)) * Premissas!$B$7, 0))</f>
        <v/>
      </c>
      <c r="AI502" s="47" t="str">
        <f>IF($A502="", "", IFERROR(($I502 * Premissas!$B$5) + ($E502 * ($I502/$B502) * Premissas!$B$4 * 12), 0))</f>
        <v/>
      </c>
      <c r="AJ502" s="47" t="str">
        <f>IF($A502="", "", $AI502 * Premissas!$B$12)</f>
        <v/>
      </c>
      <c r="AK502" s="47" t="str">
        <f t="shared" si="13"/>
        <v/>
      </c>
      <c r="AL502" s="47"/>
      <c r="AM502" s="47"/>
    </row>
    <row r="503" ht="15.75" customHeight="1">
      <c r="K503" s="47" t="str">
        <f>IF($A503="", "", IFERROR($E503 * ($I503/$B503) * Premissas!$B$6, 0))</f>
        <v/>
      </c>
      <c r="L503" s="47" t="str">
        <f>IF($A503="", "", IFERROR(($E503 * Premissas!$B$4 * ($I503/$B503) + $E502 * Premissas!$B$5 * ($I502/$B502)) * Premissas!$B$7, 0))</f>
        <v/>
      </c>
      <c r="AI503" s="47" t="str">
        <f>IF($A503="", "", IFERROR(($I503 * Premissas!$B$5) + ($E503 * ($I503/$B503) * Premissas!$B$4 * 12), 0))</f>
        <v/>
      </c>
      <c r="AJ503" s="47" t="str">
        <f>IF($A503="", "", $AI503 * Premissas!$B$12)</f>
        <v/>
      </c>
      <c r="AK503" s="47" t="str">
        <f t="shared" si="13"/>
        <v/>
      </c>
      <c r="AL503" s="47"/>
      <c r="AM503" s="47"/>
    </row>
    <row r="504" ht="15.75" customHeight="1">
      <c r="K504" s="47" t="str">
        <f>IF($A504="", "", IFERROR($E504 * ($I504/$B504) * Premissas!$B$6, 0))</f>
        <v/>
      </c>
      <c r="L504" s="47" t="str">
        <f>IF($A504="", "", IFERROR(($E504 * Premissas!$B$4 * ($I504/$B504) + $E503 * Premissas!$B$5 * ($I503/$B503)) * Premissas!$B$7, 0))</f>
        <v/>
      </c>
      <c r="AI504" s="47" t="str">
        <f>IF($A504="", "", IFERROR(($I504 * Premissas!$B$5) + ($E504 * ($I504/$B504) * Premissas!$B$4 * 12), 0))</f>
        <v/>
      </c>
      <c r="AJ504" s="47" t="str">
        <f>IF($A504="", "", $AI504 * Premissas!$B$12)</f>
        <v/>
      </c>
      <c r="AK504" s="47" t="str">
        <f t="shared" si="13"/>
        <v/>
      </c>
      <c r="AL504" s="47"/>
      <c r="AM504" s="47"/>
    </row>
    <row r="505" ht="15.75" customHeight="1">
      <c r="K505" s="47" t="str">
        <f>IF($A505="", "", IFERROR($E505 * ($I505/$B505) * Premissas!$B$6, 0))</f>
        <v/>
      </c>
      <c r="L505" s="47" t="str">
        <f>IF($A505="", "", IFERROR(($E505 * Premissas!$B$4 * ($I505/$B505) + $E504 * Premissas!$B$5 * ($I504/$B504)) * Premissas!$B$7, 0))</f>
        <v/>
      </c>
      <c r="AI505" s="47" t="str">
        <f>IF($A505="", "", IFERROR(($I505 * Premissas!$B$5) + ($E505 * ($I505/$B505) * Premissas!$B$4 * 12), 0))</f>
        <v/>
      </c>
      <c r="AJ505" s="47" t="str">
        <f>IF($A505="", "", $AI505 * Premissas!$B$12)</f>
        <v/>
      </c>
      <c r="AK505" s="47" t="str">
        <f t="shared" si="13"/>
        <v/>
      </c>
      <c r="AL505" s="47"/>
      <c r="AM505" s="47"/>
    </row>
    <row r="506" ht="15.75" customHeight="1">
      <c r="K506" s="47" t="str">
        <f>IF($A506="", "", IFERROR($E506 * ($I506/$B506) * Premissas!$B$6, 0))</f>
        <v/>
      </c>
      <c r="L506" s="47" t="str">
        <f>IF($A506="", "", IFERROR(($E506 * Premissas!$B$4 * ($I506/$B506) + $E505 * Premissas!$B$5 * ($I505/$B505)) * Premissas!$B$7, 0))</f>
        <v/>
      </c>
      <c r="AI506" s="47" t="str">
        <f>IF($A506="", "", IFERROR(($I506 * Premissas!$B$5) + ($E506 * ($I506/$B506) * Premissas!$B$4 * 12), 0))</f>
        <v/>
      </c>
      <c r="AJ506" s="47" t="str">
        <f>IF($A506="", "", $AI506 * Premissas!$B$12)</f>
        <v/>
      </c>
      <c r="AK506" s="47" t="str">
        <f t="shared" si="13"/>
        <v/>
      </c>
      <c r="AL506" s="47"/>
      <c r="AM506" s="47"/>
    </row>
    <row r="507" ht="15.75" customHeight="1">
      <c r="K507" s="47" t="str">
        <f>IF($A507="", "", IFERROR($E507 * ($I507/$B507) * Premissas!$B$6, 0))</f>
        <v/>
      </c>
      <c r="L507" s="47" t="str">
        <f>IF($A507="", "", IFERROR(($E507 * Premissas!$B$4 * ($I507/$B507) + $E506 * Premissas!$B$5 * ($I506/$B506)) * Premissas!$B$7, 0))</f>
        <v/>
      </c>
      <c r="AI507" s="47" t="str">
        <f>IF($A507="", "", IFERROR(($I507 * Premissas!$B$5) + ($E507 * ($I507/$B507) * Premissas!$B$4 * 12), 0))</f>
        <v/>
      </c>
      <c r="AJ507" s="47" t="str">
        <f>IF($A507="", "", $AI507 * Premissas!$B$12)</f>
        <v/>
      </c>
      <c r="AK507" s="47" t="str">
        <f t="shared" si="13"/>
        <v/>
      </c>
      <c r="AL507" s="47"/>
      <c r="AM507" s="47"/>
    </row>
    <row r="508" ht="15.75" customHeight="1">
      <c r="K508" s="47" t="str">
        <f>IF($A508="", "", IFERROR($E508 * ($I508/$B508) * Premissas!$B$6, 0))</f>
        <v/>
      </c>
      <c r="L508" s="47" t="str">
        <f>IF($A508="", "", IFERROR(($E508 * Premissas!$B$4 * ($I508/$B508) + $E507 * Premissas!$B$5 * ($I507/$B507)) * Premissas!$B$7, 0))</f>
        <v/>
      </c>
      <c r="AI508" s="47" t="str">
        <f>IF($A508="", "", IFERROR(($I508 * Premissas!$B$5) + ($E508 * ($I508/$B508) * Premissas!$B$4 * 12), 0))</f>
        <v/>
      </c>
      <c r="AJ508" s="47" t="str">
        <f>IF($A508="", "", $AI508 * Premissas!$B$12)</f>
        <v/>
      </c>
      <c r="AK508" s="47" t="str">
        <f t="shared" si="13"/>
        <v/>
      </c>
      <c r="AL508" s="47"/>
      <c r="AM508" s="47"/>
    </row>
    <row r="509" ht="15.75" customHeight="1">
      <c r="K509" s="47" t="str">
        <f>IF($A509="", "", IFERROR($E509 * ($I509/$B509) * Premissas!$B$6, 0))</f>
        <v/>
      </c>
      <c r="L509" s="47" t="str">
        <f>IF($A509="", "", IFERROR(($E509 * Premissas!$B$4 * ($I509/$B509) + $E508 * Premissas!$B$5 * ($I508/$B508)) * Premissas!$B$7, 0))</f>
        <v/>
      </c>
      <c r="AI509" s="47" t="str">
        <f>IF($A509="", "", IFERROR(($I509 * Premissas!$B$5) + ($E509 * ($I509/$B509) * Premissas!$B$4 * 12), 0))</f>
        <v/>
      </c>
      <c r="AJ509" s="47" t="str">
        <f>IF($A509="", "", $AI509 * Premissas!$B$12)</f>
        <v/>
      </c>
      <c r="AK509" s="47" t="str">
        <f t="shared" si="13"/>
        <v/>
      </c>
      <c r="AL509" s="47"/>
      <c r="AM509" s="47"/>
    </row>
    <row r="510" ht="15.75" customHeight="1">
      <c r="K510" s="47" t="str">
        <f>IF($A510="", "", IFERROR($E510 * ($I510/$B510) * Premissas!$B$6, 0))</f>
        <v/>
      </c>
      <c r="L510" s="47" t="str">
        <f>IF($A510="", "", IFERROR(($E510 * Premissas!$B$4 * ($I510/$B510) + $E509 * Premissas!$B$5 * ($I509/$B509)) * Premissas!$B$7, 0))</f>
        <v/>
      </c>
      <c r="AI510" s="47" t="str">
        <f>IF($A510="", "", IFERROR(($I510 * Premissas!$B$5) + ($E510 * ($I510/$B510) * Premissas!$B$4 * 12), 0))</f>
        <v/>
      </c>
      <c r="AJ510" s="47" t="str">
        <f>IF($A510="", "", $AI510 * Premissas!$B$12)</f>
        <v/>
      </c>
      <c r="AK510" s="47" t="str">
        <f t="shared" si="13"/>
        <v/>
      </c>
      <c r="AL510" s="47"/>
      <c r="AM510" s="47"/>
    </row>
    <row r="511" ht="15.75" customHeight="1">
      <c r="K511" s="47" t="str">
        <f>IF($A511="", "", IFERROR($E511 * ($I511/$B511) * Premissas!$B$6, 0))</f>
        <v/>
      </c>
      <c r="L511" s="47" t="str">
        <f>IF($A511="", "", IFERROR(($E511 * Premissas!$B$4 * ($I511/$B511) + $E510 * Premissas!$B$5 * ($I510/$B510)) * Premissas!$B$7, 0))</f>
        <v/>
      </c>
      <c r="AI511" s="47" t="str">
        <f>IF($A511="", "", IFERROR(($I511 * Premissas!$B$5) + ($E511 * ($I511/$B511) * Premissas!$B$4 * 12), 0))</f>
        <v/>
      </c>
      <c r="AJ511" s="47" t="str">
        <f>IF($A511="", "", $AI511 * Premissas!$B$12)</f>
        <v/>
      </c>
      <c r="AK511" s="47" t="str">
        <f t="shared" si="13"/>
        <v/>
      </c>
      <c r="AL511" s="47"/>
      <c r="AM511" s="47"/>
    </row>
    <row r="512" ht="15.75" customHeight="1">
      <c r="K512" s="47" t="str">
        <f>IF($A512="", "", IFERROR($E512 * ($I512/$B512) * Premissas!$B$6, 0))</f>
        <v/>
      </c>
      <c r="L512" s="47" t="str">
        <f>IF($A512="", "", IFERROR(($E512 * Premissas!$B$4 * ($I512/$B512) + $E511 * Premissas!$B$5 * ($I511/$B511)) * Premissas!$B$7, 0))</f>
        <v/>
      </c>
      <c r="AI512" s="47" t="str">
        <f>IF($A512="", "", IFERROR(($I512 * Premissas!$B$5) + ($E512 * ($I512/$B512) * Premissas!$B$4 * 12), 0))</f>
        <v/>
      </c>
      <c r="AJ512" s="47" t="str">
        <f>IF($A512="", "", $AI512 * Premissas!$B$12)</f>
        <v/>
      </c>
      <c r="AK512" s="47" t="str">
        <f t="shared" si="13"/>
        <v/>
      </c>
      <c r="AL512" s="47"/>
      <c r="AM512" s="47"/>
    </row>
    <row r="513" ht="15.75" customHeight="1">
      <c r="K513" s="47" t="str">
        <f>IF($A513="", "", IFERROR($E513 * ($I513/$B513) * Premissas!$B$6, 0))</f>
        <v/>
      </c>
      <c r="L513" s="47" t="str">
        <f>IF($A513="", "", IFERROR(($E513 * Premissas!$B$4 * ($I513/$B513) + $E512 * Premissas!$B$5 * ($I512/$B512)) * Premissas!$B$7, 0))</f>
        <v/>
      </c>
      <c r="AI513" s="47" t="str">
        <f>IF($A513="", "", IFERROR(($I513 * Premissas!$B$5) + ($E513 * ($I513/$B513) * Premissas!$B$4 * 12), 0))</f>
        <v/>
      </c>
      <c r="AJ513" s="47" t="str">
        <f>IF($A513="", "", $AI513 * Premissas!$B$12)</f>
        <v/>
      </c>
      <c r="AK513" s="47" t="str">
        <f t="shared" si="13"/>
        <v/>
      </c>
      <c r="AL513" s="47"/>
      <c r="AM513" s="47"/>
    </row>
    <row r="514" ht="15.75" customHeight="1">
      <c r="K514" s="47" t="str">
        <f>IF($A514="", "", IFERROR($E514 * ($I514/$B514) * Premissas!$B$6, 0))</f>
        <v/>
      </c>
      <c r="L514" s="47" t="str">
        <f>IF($A514="", "", IFERROR(($E514 * Premissas!$B$4 * ($I514/$B514) + $E513 * Premissas!$B$5 * ($I513/$B513)) * Premissas!$B$7, 0))</f>
        <v/>
      </c>
      <c r="AI514" s="47" t="str">
        <f>IF($A514="", "", IFERROR(($I514 * Premissas!$B$5) + ($E514 * ($I514/$B514) * Premissas!$B$4 * 12), 0))</f>
        <v/>
      </c>
      <c r="AJ514" s="47" t="str">
        <f>IF($A514="", "", $AI514 * Premissas!$B$12)</f>
        <v/>
      </c>
      <c r="AK514" s="47" t="str">
        <f t="shared" si="13"/>
        <v/>
      </c>
      <c r="AL514" s="47"/>
      <c r="AM514" s="47"/>
    </row>
    <row r="515" ht="15.75" customHeight="1">
      <c r="K515" s="47" t="str">
        <f>IF($A515="", "", IFERROR($E515 * ($I515/$B515) * Premissas!$B$6, 0))</f>
        <v/>
      </c>
      <c r="L515" s="47" t="str">
        <f>IF($A515="", "", IFERROR(($E515 * Premissas!$B$4 * ($I515/$B515) + $E514 * Premissas!$B$5 * ($I514/$B514)) * Premissas!$B$7, 0))</f>
        <v/>
      </c>
      <c r="AI515" s="47" t="str">
        <f>IF($A515="", "", IFERROR(($I515 * Premissas!$B$5) + ($E515 * ($I515/$B515) * Premissas!$B$4 * 12), 0))</f>
        <v/>
      </c>
      <c r="AJ515" s="47" t="str">
        <f>IF($A515="", "", $AI515 * Premissas!$B$12)</f>
        <v/>
      </c>
      <c r="AK515" s="47" t="str">
        <f t="shared" si="13"/>
        <v/>
      </c>
      <c r="AL515" s="47"/>
      <c r="AM515" s="47"/>
    </row>
    <row r="516" ht="15.75" customHeight="1">
      <c r="K516" s="47" t="str">
        <f>IF($A516="", "", IFERROR($E516 * ($I516/$B516) * Premissas!$B$6, 0))</f>
        <v/>
      </c>
      <c r="L516" s="47" t="str">
        <f>IF($A516="", "", IFERROR(($E516 * Premissas!$B$4 * ($I516/$B516) + $E515 * Premissas!$B$5 * ($I515/$B515)) * Premissas!$B$7, 0))</f>
        <v/>
      </c>
      <c r="AI516" s="47" t="str">
        <f>IF($A516="", "", IFERROR(($I516 * Premissas!$B$5) + ($E516 * ($I516/$B516) * Premissas!$B$4 * 12), 0))</f>
        <v/>
      </c>
      <c r="AJ516" s="47" t="str">
        <f>IF($A516="", "", $AI516 * Premissas!$B$12)</f>
        <v/>
      </c>
      <c r="AK516" s="47" t="str">
        <f t="shared" si="13"/>
        <v/>
      </c>
      <c r="AL516" s="47"/>
      <c r="AM516" s="47"/>
    </row>
    <row r="517" ht="15.75" customHeight="1">
      <c r="K517" s="47" t="str">
        <f>IF($A517="", "", IFERROR($E517 * ($I517/$B517) * Premissas!$B$6, 0))</f>
        <v/>
      </c>
      <c r="L517" s="47" t="str">
        <f>IF($A517="", "", IFERROR(($E517 * Premissas!$B$4 * ($I517/$B517) + $E516 * Premissas!$B$5 * ($I516/$B516)) * Premissas!$B$7, 0))</f>
        <v/>
      </c>
      <c r="AI517" s="47" t="str">
        <f>IF($A517="", "", IFERROR(($I517 * Premissas!$B$5) + ($E517 * ($I517/$B517) * Premissas!$B$4 * 12), 0))</f>
        <v/>
      </c>
      <c r="AJ517" s="47" t="str">
        <f>IF($A517="", "", $AI517 * Premissas!$B$12)</f>
        <v/>
      </c>
      <c r="AK517" s="47" t="str">
        <f t="shared" si="13"/>
        <v/>
      </c>
      <c r="AL517" s="47"/>
      <c r="AM517" s="47"/>
    </row>
    <row r="518" ht="15.75" customHeight="1">
      <c r="K518" s="47" t="str">
        <f>IF($A518="", "", IFERROR($E518 * ($I518/$B518) * Premissas!$B$6, 0))</f>
        <v/>
      </c>
      <c r="L518" s="47" t="str">
        <f>IF($A518="", "", IFERROR(($E518 * Premissas!$B$4 * ($I518/$B518) + $E517 * Premissas!$B$5 * ($I517/$B517)) * Premissas!$B$7, 0))</f>
        <v/>
      </c>
      <c r="AI518" s="47" t="str">
        <f>IF($A518="", "", IFERROR(($I518 * Premissas!$B$5) + ($E518 * ($I518/$B518) * Premissas!$B$4 * 12), 0))</f>
        <v/>
      </c>
      <c r="AJ518" s="47" t="str">
        <f>IF($A518="", "", $AI518 * Premissas!$B$12)</f>
        <v/>
      </c>
      <c r="AK518" s="47" t="str">
        <f t="shared" si="13"/>
        <v/>
      </c>
      <c r="AL518" s="47"/>
      <c r="AM518" s="47"/>
    </row>
    <row r="519" ht="15.75" customHeight="1">
      <c r="K519" s="47" t="str">
        <f>IF($A519="", "", IFERROR($E519 * ($I519/$B519) * Premissas!$B$6, 0))</f>
        <v/>
      </c>
      <c r="L519" s="47" t="str">
        <f>IF($A519="", "", IFERROR(($E519 * Premissas!$B$4 * ($I519/$B519) + $E518 * Premissas!$B$5 * ($I518/$B518)) * Premissas!$B$7, 0))</f>
        <v/>
      </c>
      <c r="AI519" s="47" t="str">
        <f>IF($A519="", "", IFERROR(($I519 * Premissas!$B$5) + ($E519 * ($I519/$B519) * Premissas!$B$4 * 12), 0))</f>
        <v/>
      </c>
      <c r="AJ519" s="47" t="str">
        <f>IF($A519="", "", $AI519 * Premissas!$B$12)</f>
        <v/>
      </c>
      <c r="AK519" s="47" t="str">
        <f t="shared" si="13"/>
        <v/>
      </c>
      <c r="AL519" s="47"/>
      <c r="AM519" s="47"/>
    </row>
    <row r="520" ht="15.75" customHeight="1">
      <c r="K520" s="47" t="str">
        <f>IF($A520="", "", IFERROR($E520 * ($I520/$B520) * Premissas!$B$6, 0))</f>
        <v/>
      </c>
      <c r="L520" s="47" t="str">
        <f>IF($A520="", "", IFERROR(($E520 * Premissas!$B$4 * ($I520/$B520) + $E519 * Premissas!$B$5 * ($I519/$B519)) * Premissas!$B$7, 0))</f>
        <v/>
      </c>
      <c r="AI520" s="47" t="str">
        <f>IF($A520="", "", IFERROR(($I520 * Premissas!$B$5) + ($E520 * ($I520/$B520) * Premissas!$B$4 * 12), 0))</f>
        <v/>
      </c>
      <c r="AJ520" s="47" t="str">
        <f>IF($A520="", "", $AI520 * Premissas!$B$12)</f>
        <v/>
      </c>
      <c r="AK520" s="47" t="str">
        <f t="shared" si="13"/>
        <v/>
      </c>
      <c r="AL520" s="47"/>
      <c r="AM520" s="47"/>
    </row>
    <row r="521" ht="15.75" customHeight="1">
      <c r="K521" s="47" t="str">
        <f>IF($A521="", "", IFERROR($E521 * ($I521/$B521) * Premissas!$B$6, 0))</f>
        <v/>
      </c>
      <c r="L521" s="47" t="str">
        <f>IF($A521="", "", IFERROR(($E521 * Premissas!$B$4 * ($I521/$B521) + $E520 * Premissas!$B$5 * ($I520/$B520)) * Premissas!$B$7, 0))</f>
        <v/>
      </c>
      <c r="AI521" s="47" t="str">
        <f>IF($A521="", "", IFERROR(($I521 * Premissas!$B$5) + ($E521 * ($I521/$B521) * Premissas!$B$4 * 12), 0))</f>
        <v/>
      </c>
      <c r="AJ521" s="47" t="str">
        <f>IF($A521="", "", $AI521 * Premissas!$B$12)</f>
        <v/>
      </c>
      <c r="AK521" s="47" t="str">
        <f t="shared" si="13"/>
        <v/>
      </c>
      <c r="AL521" s="47"/>
      <c r="AM521" s="47"/>
    </row>
    <row r="522" ht="15.75" customHeight="1">
      <c r="K522" s="47" t="str">
        <f>IF($A522="", "", IFERROR($E522 * ($I522/$B522) * Premissas!$B$6, 0))</f>
        <v/>
      </c>
      <c r="L522" s="47" t="str">
        <f>IF($A522="", "", IFERROR(($E522 * Premissas!$B$4 * ($I522/$B522) + $E521 * Premissas!$B$5 * ($I521/$B521)) * Premissas!$B$7, 0))</f>
        <v/>
      </c>
      <c r="AI522" s="47" t="str">
        <f>IF($A522="", "", IFERROR(($I522 * Premissas!$B$5) + ($E522 * ($I522/$B522) * Premissas!$B$4 * 12), 0))</f>
        <v/>
      </c>
      <c r="AJ522" s="47" t="str">
        <f>IF($A522="", "", $AI522 * Premissas!$B$12)</f>
        <v/>
      </c>
      <c r="AK522" s="47" t="str">
        <f t="shared" si="13"/>
        <v/>
      </c>
      <c r="AL522" s="47"/>
      <c r="AM522" s="47"/>
    </row>
    <row r="523" ht="15.75" customHeight="1">
      <c r="K523" s="47" t="str">
        <f>IF($A523="", "", IFERROR($E523 * ($I523/$B523) * Premissas!$B$6, 0))</f>
        <v/>
      </c>
      <c r="L523" s="47" t="str">
        <f>IF($A523="", "", IFERROR(($E523 * Premissas!$B$4 * ($I523/$B523) + $E522 * Premissas!$B$5 * ($I522/$B522)) * Premissas!$B$7, 0))</f>
        <v/>
      </c>
      <c r="AI523" s="47" t="str">
        <f>IF($A523="", "", IFERROR(($I523 * Premissas!$B$5) + ($E523 * ($I523/$B523) * Premissas!$B$4 * 12), 0))</f>
        <v/>
      </c>
      <c r="AJ523" s="47" t="str">
        <f>IF($A523="", "", $AI523 * Premissas!$B$12)</f>
        <v/>
      </c>
      <c r="AK523" s="47" t="str">
        <f t="shared" si="13"/>
        <v/>
      </c>
      <c r="AL523" s="47"/>
      <c r="AM523" s="47"/>
    </row>
    <row r="524" ht="15.75" customHeight="1">
      <c r="K524" s="47" t="str">
        <f>IF($A524="", "", IFERROR($E524 * ($I524/$B524) * Premissas!$B$6, 0))</f>
        <v/>
      </c>
      <c r="L524" s="47" t="str">
        <f>IF($A524="", "", IFERROR(($E524 * Premissas!$B$4 * ($I524/$B524) + $E523 * Premissas!$B$5 * ($I523/$B523)) * Premissas!$B$7, 0))</f>
        <v/>
      </c>
      <c r="AI524" s="47" t="str">
        <f>IF($A524="", "", IFERROR(($I524 * Premissas!$B$5) + ($E524 * ($I524/$B524) * Premissas!$B$4 * 12), 0))</f>
        <v/>
      </c>
      <c r="AJ524" s="47" t="str">
        <f>IF($A524="", "", $AI524 * Premissas!$B$12)</f>
        <v/>
      </c>
      <c r="AK524" s="47" t="str">
        <f t="shared" si="13"/>
        <v/>
      </c>
      <c r="AL524" s="47"/>
      <c r="AM524" s="47"/>
    </row>
    <row r="525" ht="15.75" customHeight="1">
      <c r="K525" s="47" t="str">
        <f>IF($A525="", "", IFERROR($E525 * ($I525/$B525) * Premissas!$B$6, 0))</f>
        <v/>
      </c>
      <c r="L525" s="47" t="str">
        <f>IF($A525="", "", IFERROR(($E525 * Premissas!$B$4 * ($I525/$B525) + $E524 * Premissas!$B$5 * ($I524/$B524)) * Premissas!$B$7, 0))</f>
        <v/>
      </c>
      <c r="AI525" s="47" t="str">
        <f>IF($A525="", "", IFERROR(($I525 * Premissas!$B$5) + ($E525 * ($I525/$B525) * Premissas!$B$4 * 12), 0))</f>
        <v/>
      </c>
      <c r="AJ525" s="47" t="str">
        <f>IF($A525="", "", $AI525 * Premissas!$B$12)</f>
        <v/>
      </c>
      <c r="AK525" s="47" t="str">
        <f t="shared" si="13"/>
        <v/>
      </c>
      <c r="AL525" s="47"/>
      <c r="AM525" s="47"/>
    </row>
    <row r="526" ht="15.75" customHeight="1">
      <c r="K526" s="47" t="str">
        <f>IF($A526="", "", IFERROR($E526 * ($I526/$B526) * Premissas!$B$6, 0))</f>
        <v/>
      </c>
      <c r="L526" s="47" t="str">
        <f>IF($A526="", "", IFERROR(($E526 * Premissas!$B$4 * ($I526/$B526) + $E525 * Premissas!$B$5 * ($I525/$B525)) * Premissas!$B$7, 0))</f>
        <v/>
      </c>
      <c r="AI526" s="47" t="str">
        <f>IF($A526="", "", IFERROR(($I526 * Premissas!$B$5) + ($E526 * ($I526/$B526) * Premissas!$B$4 * 12), 0))</f>
        <v/>
      </c>
      <c r="AJ526" s="47" t="str">
        <f>IF($A526="", "", $AI526 * Premissas!$B$12)</f>
        <v/>
      </c>
      <c r="AK526" s="47" t="str">
        <f t="shared" si="13"/>
        <v/>
      </c>
      <c r="AL526" s="47"/>
      <c r="AM526" s="47"/>
    </row>
    <row r="527" ht="15.75" customHeight="1">
      <c r="K527" s="47" t="str">
        <f>IF($A527="", "", IFERROR($E527 * ($I527/$B527) * Premissas!$B$6, 0))</f>
        <v/>
      </c>
      <c r="L527" s="47" t="str">
        <f>IF($A527="", "", IFERROR(($E527 * Premissas!$B$4 * ($I527/$B527) + $E526 * Premissas!$B$5 * ($I526/$B526)) * Premissas!$B$7, 0))</f>
        <v/>
      </c>
      <c r="AI527" s="47" t="str">
        <f>IF($A527="", "", IFERROR(($I527 * Premissas!$B$5) + ($E527 * ($I527/$B527) * Premissas!$B$4 * 12), 0))</f>
        <v/>
      </c>
      <c r="AJ527" s="47" t="str">
        <f>IF($A527="", "", $AI527 * Premissas!$B$12)</f>
        <v/>
      </c>
      <c r="AK527" s="47" t="str">
        <f t="shared" si="13"/>
        <v/>
      </c>
      <c r="AL527" s="47"/>
      <c r="AM527" s="47"/>
    </row>
    <row r="528" ht="15.75" customHeight="1">
      <c r="K528" s="47" t="str">
        <f>IF($A528="", "", IFERROR($E528 * ($I528/$B528) * Premissas!$B$6, 0))</f>
        <v/>
      </c>
      <c r="L528" s="47" t="str">
        <f>IF($A528="", "", IFERROR(($E528 * Premissas!$B$4 * ($I528/$B528) + $E527 * Premissas!$B$5 * ($I527/$B527)) * Premissas!$B$7, 0))</f>
        <v/>
      </c>
      <c r="AI528" s="47" t="str">
        <f>IF($A528="", "", IFERROR(($I528 * Premissas!$B$5) + ($E528 * ($I528/$B528) * Premissas!$B$4 * 12), 0))</f>
        <v/>
      </c>
      <c r="AJ528" s="47" t="str">
        <f>IF($A528="", "", $AI528 * Premissas!$B$12)</f>
        <v/>
      </c>
      <c r="AK528" s="47" t="str">
        <f t="shared" si="13"/>
        <v/>
      </c>
      <c r="AL528" s="47"/>
      <c r="AM528" s="47"/>
    </row>
    <row r="529" ht="15.75" customHeight="1">
      <c r="K529" s="47" t="str">
        <f>IF($A529="", "", IFERROR($E529 * ($I529/$B529) * Premissas!$B$6, 0))</f>
        <v/>
      </c>
      <c r="L529" s="47" t="str">
        <f>IF($A529="", "", IFERROR(($E529 * Premissas!$B$4 * ($I529/$B529) + $E528 * Premissas!$B$5 * ($I528/$B528)) * Premissas!$B$7, 0))</f>
        <v/>
      </c>
      <c r="AI529" s="47" t="str">
        <f>IF($A529="", "", IFERROR(($I529 * Premissas!$B$5) + ($E529 * ($I529/$B529) * Premissas!$B$4 * 12), 0))</f>
        <v/>
      </c>
      <c r="AJ529" s="47" t="str">
        <f>IF($A529="", "", $AI529 * Premissas!$B$12)</f>
        <v/>
      </c>
      <c r="AK529" s="47" t="str">
        <f t="shared" si="13"/>
        <v/>
      </c>
      <c r="AL529" s="47"/>
      <c r="AM529" s="47"/>
    </row>
    <row r="530" ht="15.75" customHeight="1">
      <c r="K530" s="47" t="str">
        <f>IF($A530="", "", IFERROR($E530 * ($I530/$B530) * Premissas!$B$6, 0))</f>
        <v/>
      </c>
      <c r="L530" s="47" t="str">
        <f>IF($A530="", "", IFERROR(($E530 * Premissas!$B$4 * ($I530/$B530) + $E529 * Premissas!$B$5 * ($I529/$B529)) * Premissas!$B$7, 0))</f>
        <v/>
      </c>
      <c r="AI530" s="47" t="str">
        <f>IF($A530="", "", IFERROR(($I530 * Premissas!$B$5) + ($E530 * ($I530/$B530) * Premissas!$B$4 * 12), 0))</f>
        <v/>
      </c>
      <c r="AJ530" s="47" t="str">
        <f>IF($A530="", "", $AI530 * Premissas!$B$12)</f>
        <v/>
      </c>
      <c r="AK530" s="47" t="str">
        <f t="shared" si="13"/>
        <v/>
      </c>
      <c r="AL530" s="47"/>
      <c r="AM530" s="47"/>
    </row>
    <row r="531" ht="15.75" customHeight="1">
      <c r="K531" s="47" t="str">
        <f>IF($A531="", "", IFERROR($E531 * ($I531/$B531) * Premissas!$B$6, 0))</f>
        <v/>
      </c>
      <c r="L531" s="47" t="str">
        <f>IF($A531="", "", IFERROR(($E531 * Premissas!$B$4 * ($I531/$B531) + $E530 * Premissas!$B$5 * ($I530/$B530)) * Premissas!$B$7, 0))</f>
        <v/>
      </c>
      <c r="AI531" s="47" t="str">
        <f>IF($A531="", "", IFERROR(($I531 * Premissas!$B$5) + ($E531 * ($I531/$B531) * Premissas!$B$4 * 12), 0))</f>
        <v/>
      </c>
      <c r="AJ531" s="47" t="str">
        <f>IF($A531="", "", $AI531 * Premissas!$B$12)</f>
        <v/>
      </c>
      <c r="AK531" s="47" t="str">
        <f t="shared" si="13"/>
        <v/>
      </c>
      <c r="AL531" s="47"/>
      <c r="AM531" s="47"/>
    </row>
    <row r="532" ht="15.75" customHeight="1">
      <c r="K532" s="47" t="str">
        <f>IF($A532="", "", IFERROR($E532 * ($I532/$B532) * Premissas!$B$6, 0))</f>
        <v/>
      </c>
      <c r="L532" s="47" t="str">
        <f>IF($A532="", "", IFERROR(($E532 * Premissas!$B$4 * ($I532/$B532) + $E531 * Premissas!$B$5 * ($I531/$B531)) * Premissas!$B$7, 0))</f>
        <v/>
      </c>
      <c r="AI532" s="47" t="str">
        <f>IF($A532="", "", IFERROR(($I532 * Premissas!$B$5) + ($E532 * ($I532/$B532) * Premissas!$B$4 * 12), 0))</f>
        <v/>
      </c>
      <c r="AJ532" s="47" t="str">
        <f>IF($A532="", "", $AI532 * Premissas!$B$12)</f>
        <v/>
      </c>
      <c r="AK532" s="47" t="str">
        <f t="shared" si="13"/>
        <v/>
      </c>
      <c r="AL532" s="47"/>
      <c r="AM532" s="47"/>
    </row>
    <row r="533" ht="15.75" customHeight="1">
      <c r="K533" s="47" t="str">
        <f>IF($A533="", "", IFERROR($E533 * ($I533/$B533) * Premissas!$B$6, 0))</f>
        <v/>
      </c>
      <c r="L533" s="47" t="str">
        <f>IF($A533="", "", IFERROR(($E533 * Premissas!$B$4 * ($I533/$B533) + $E532 * Premissas!$B$5 * ($I532/$B532)) * Premissas!$B$7, 0))</f>
        <v/>
      </c>
      <c r="AI533" s="47" t="str">
        <f>IF($A533="", "", IFERROR(($I533 * Premissas!$B$5) + ($E533 * ($I533/$B533) * Premissas!$B$4 * 12), 0))</f>
        <v/>
      </c>
      <c r="AJ533" s="47" t="str">
        <f>IF($A533="", "", $AI533 * Premissas!$B$12)</f>
        <v/>
      </c>
      <c r="AK533" s="47" t="str">
        <f t="shared" si="13"/>
        <v/>
      </c>
      <c r="AL533" s="47"/>
      <c r="AM533" s="47"/>
    </row>
    <row r="534" ht="15.75" customHeight="1">
      <c r="K534" s="47" t="str">
        <f>IF($A534="", "", IFERROR($E534 * ($I534/$B534) * Premissas!$B$6, 0))</f>
        <v/>
      </c>
      <c r="L534" s="47" t="str">
        <f>IF($A534="", "", IFERROR(($E534 * Premissas!$B$4 * ($I534/$B534) + $E533 * Premissas!$B$5 * ($I533/$B533)) * Premissas!$B$7, 0))</f>
        <v/>
      </c>
      <c r="AI534" s="47" t="str">
        <f>IF($A534="", "", IFERROR(($I534 * Premissas!$B$5) + ($E534 * ($I534/$B534) * Premissas!$B$4 * 12), 0))</f>
        <v/>
      </c>
      <c r="AJ534" s="47" t="str">
        <f>IF($A534="", "", $AI534 * Premissas!$B$12)</f>
        <v/>
      </c>
      <c r="AK534" s="47" t="str">
        <f t="shared" si="13"/>
        <v/>
      </c>
      <c r="AL534" s="47"/>
      <c r="AM534" s="47"/>
    </row>
    <row r="535" ht="15.75" customHeight="1">
      <c r="K535" s="47" t="str">
        <f>IF($A535="", "", IFERROR($E535 * ($I535/$B535) * Premissas!$B$6, 0))</f>
        <v/>
      </c>
      <c r="L535" s="47" t="str">
        <f>IF($A535="", "", IFERROR(($E535 * Premissas!$B$4 * ($I535/$B535) + $E534 * Premissas!$B$5 * ($I534/$B534)) * Premissas!$B$7, 0))</f>
        <v/>
      </c>
      <c r="AI535" s="47" t="str">
        <f>IF($A535="", "", IFERROR(($I535 * Premissas!$B$5) + ($E535 * ($I535/$B535) * Premissas!$B$4 * 12), 0))</f>
        <v/>
      </c>
      <c r="AJ535" s="47" t="str">
        <f>IF($A535="", "", $AI535 * Premissas!$B$12)</f>
        <v/>
      </c>
      <c r="AK535" s="47" t="str">
        <f t="shared" si="13"/>
        <v/>
      </c>
      <c r="AL535" s="47"/>
      <c r="AM535" s="47"/>
    </row>
    <row r="536" ht="15.75" customHeight="1">
      <c r="K536" s="47" t="str">
        <f>IF($A536="", "", IFERROR($E536 * ($I536/$B536) * Premissas!$B$6, 0))</f>
        <v/>
      </c>
      <c r="L536" s="47" t="str">
        <f>IF($A536="", "", IFERROR(($E536 * Premissas!$B$4 * ($I536/$B536) + $E535 * Premissas!$B$5 * ($I535/$B535)) * Premissas!$B$7, 0))</f>
        <v/>
      </c>
      <c r="AI536" s="47" t="str">
        <f>IF($A536="", "", IFERROR(($I536 * Premissas!$B$5) + ($E536 * ($I536/$B536) * Premissas!$B$4 * 12), 0))</f>
        <v/>
      </c>
      <c r="AJ536" s="47" t="str">
        <f>IF($A536="", "", $AI536 * Premissas!$B$12)</f>
        <v/>
      </c>
      <c r="AK536" s="47" t="str">
        <f t="shared" si="13"/>
        <v/>
      </c>
      <c r="AL536" s="47"/>
      <c r="AM536" s="47"/>
    </row>
    <row r="537" ht="15.75" customHeight="1">
      <c r="K537" s="47" t="str">
        <f>IF($A537="", "", IFERROR($E537 * ($I537/$B537) * Premissas!$B$6, 0))</f>
        <v/>
      </c>
      <c r="L537" s="47" t="str">
        <f>IF($A537="", "", IFERROR(($E537 * Premissas!$B$4 * ($I537/$B537) + $E536 * Premissas!$B$5 * ($I536/$B536)) * Premissas!$B$7, 0))</f>
        <v/>
      </c>
      <c r="AI537" s="47" t="str">
        <f>IF($A537="", "", IFERROR(($I537 * Premissas!$B$5) + ($E537 * ($I537/$B537) * Premissas!$B$4 * 12), 0))</f>
        <v/>
      </c>
      <c r="AJ537" s="47" t="str">
        <f>IF($A537="", "", $AI537 * Premissas!$B$12)</f>
        <v/>
      </c>
      <c r="AK537" s="47" t="str">
        <f t="shared" si="13"/>
        <v/>
      </c>
      <c r="AL537" s="47"/>
      <c r="AM537" s="47"/>
    </row>
    <row r="538" ht="15.75" customHeight="1">
      <c r="K538" s="47" t="str">
        <f>IF($A538="", "", IFERROR($E538 * ($I538/$B538) * Premissas!$B$6, 0))</f>
        <v/>
      </c>
      <c r="L538" s="47" t="str">
        <f>IF($A538="", "", IFERROR(($E538 * Premissas!$B$4 * ($I538/$B538) + $E537 * Premissas!$B$5 * ($I537/$B537)) * Premissas!$B$7, 0))</f>
        <v/>
      </c>
      <c r="AI538" s="47" t="str">
        <f>IF($A538="", "", IFERROR(($I538 * Premissas!$B$5) + ($E538 * ($I538/$B538) * Premissas!$B$4 * 12), 0))</f>
        <v/>
      </c>
      <c r="AJ538" s="47" t="str">
        <f>IF($A538="", "", $AI538 * Premissas!$B$12)</f>
        <v/>
      </c>
      <c r="AK538" s="47" t="str">
        <f t="shared" si="13"/>
        <v/>
      </c>
      <c r="AL538" s="47"/>
      <c r="AM538" s="47"/>
    </row>
    <row r="539" ht="15.75" customHeight="1">
      <c r="K539" s="47" t="str">
        <f>IF($A539="", "", IFERROR($E539 * ($I539/$B539) * Premissas!$B$6, 0))</f>
        <v/>
      </c>
      <c r="L539" s="47" t="str">
        <f>IF($A539="", "", IFERROR(($E539 * Premissas!$B$4 * ($I539/$B539) + $E538 * Premissas!$B$5 * ($I538/$B538)) * Premissas!$B$7, 0))</f>
        <v/>
      </c>
      <c r="AI539" s="47" t="str">
        <f>IF($A539="", "", IFERROR(($I539 * Premissas!$B$5) + ($E539 * ($I539/$B539) * Premissas!$B$4 * 12), 0))</f>
        <v/>
      </c>
      <c r="AJ539" s="47" t="str">
        <f>IF($A539="", "", $AI539 * Premissas!$B$12)</f>
        <v/>
      </c>
      <c r="AK539" s="47" t="str">
        <f t="shared" si="13"/>
        <v/>
      </c>
      <c r="AL539" s="47"/>
      <c r="AM539" s="47"/>
    </row>
    <row r="540" ht="15.75" customHeight="1">
      <c r="K540" s="47" t="str">
        <f>IF($A540="", "", IFERROR($E540 * ($I540/$B540) * Premissas!$B$6, 0))</f>
        <v/>
      </c>
      <c r="L540" s="47" t="str">
        <f>IF($A540="", "", IFERROR(($E540 * Premissas!$B$4 * ($I540/$B540) + $E539 * Premissas!$B$5 * ($I539/$B539)) * Premissas!$B$7, 0))</f>
        <v/>
      </c>
      <c r="AI540" s="47" t="str">
        <f>IF($A540="", "", IFERROR(($I540 * Premissas!$B$5) + ($E540 * ($I540/$B540) * Premissas!$B$4 * 12), 0))</f>
        <v/>
      </c>
      <c r="AJ540" s="47" t="str">
        <f>IF($A540="", "", $AI540 * Premissas!$B$12)</f>
        <v/>
      </c>
      <c r="AK540" s="47" t="str">
        <f t="shared" si="13"/>
        <v/>
      </c>
      <c r="AL540" s="47"/>
      <c r="AM540" s="47"/>
    </row>
    <row r="541" ht="15.75" customHeight="1">
      <c r="K541" s="47" t="str">
        <f>IF($A541="", "", IFERROR($E541 * ($I541/$B541) * Premissas!$B$6, 0))</f>
        <v/>
      </c>
      <c r="L541" s="47" t="str">
        <f>IF($A541="", "", IFERROR(($E541 * Premissas!$B$4 * ($I541/$B541) + $E540 * Premissas!$B$5 * ($I540/$B540)) * Premissas!$B$7, 0))</f>
        <v/>
      </c>
      <c r="AI541" s="47" t="str">
        <f>IF($A541="", "", IFERROR(($I541 * Premissas!$B$5) + ($E541 * ($I541/$B541) * Premissas!$B$4 * 12), 0))</f>
        <v/>
      </c>
      <c r="AJ541" s="47" t="str">
        <f>IF($A541="", "", $AI541 * Premissas!$B$12)</f>
        <v/>
      </c>
      <c r="AK541" s="47" t="str">
        <f t="shared" si="13"/>
        <v/>
      </c>
      <c r="AL541" s="47"/>
      <c r="AM541" s="47"/>
    </row>
    <row r="542" ht="15.75" customHeight="1">
      <c r="K542" s="47" t="str">
        <f>IF($A542="", "", IFERROR($E542 * ($I542/$B542) * Premissas!$B$6, 0))</f>
        <v/>
      </c>
      <c r="L542" s="47" t="str">
        <f>IF($A542="", "", IFERROR(($E542 * Premissas!$B$4 * ($I542/$B542) + $E541 * Premissas!$B$5 * ($I541/$B541)) * Premissas!$B$7, 0))</f>
        <v/>
      </c>
      <c r="AI542" s="47" t="str">
        <f>IF($A542="", "", IFERROR(($I542 * Premissas!$B$5) + ($E542 * ($I542/$B542) * Premissas!$B$4 * 12), 0))</f>
        <v/>
      </c>
      <c r="AJ542" s="47" t="str">
        <f>IF($A542="", "", $AI542 * Premissas!$B$12)</f>
        <v/>
      </c>
      <c r="AK542" s="47" t="str">
        <f t="shared" si="13"/>
        <v/>
      </c>
      <c r="AL542" s="47"/>
      <c r="AM542" s="47"/>
    </row>
    <row r="543" ht="15.75" customHeight="1">
      <c r="K543" s="47" t="str">
        <f>IF($A543="", "", IFERROR($E543 * ($I543/$B543) * Premissas!$B$6, 0))</f>
        <v/>
      </c>
      <c r="L543" s="47" t="str">
        <f>IF($A543="", "", IFERROR(($E543 * Premissas!$B$4 * ($I543/$B543) + $E542 * Premissas!$B$5 * ($I542/$B542)) * Premissas!$B$7, 0))</f>
        <v/>
      </c>
      <c r="AI543" s="47" t="str">
        <f>IF($A543="", "", IFERROR(($I543 * Premissas!$B$5) + ($E543 * ($I543/$B543) * Premissas!$B$4 * 12), 0))</f>
        <v/>
      </c>
      <c r="AJ543" s="47" t="str">
        <f>IF($A543="", "", $AI543 * Premissas!$B$12)</f>
        <v/>
      </c>
      <c r="AK543" s="47" t="str">
        <f t="shared" si="13"/>
        <v/>
      </c>
      <c r="AL543" s="47"/>
      <c r="AM543" s="47"/>
    </row>
    <row r="544" ht="15.75" customHeight="1">
      <c r="K544" s="47" t="str">
        <f>IF($A544="", "", IFERROR($E544 * ($I544/$B544) * Premissas!$B$6, 0))</f>
        <v/>
      </c>
      <c r="L544" s="47" t="str">
        <f>IF($A544="", "", IFERROR(($E544 * Premissas!$B$4 * ($I544/$B544) + $E543 * Premissas!$B$5 * ($I543/$B543)) * Premissas!$B$7, 0))</f>
        <v/>
      </c>
      <c r="AI544" s="47" t="str">
        <f>IF($A544="", "", IFERROR(($I544 * Premissas!$B$5) + ($E544 * ($I544/$B544) * Premissas!$B$4 * 12), 0))</f>
        <v/>
      </c>
      <c r="AJ544" s="47" t="str">
        <f>IF($A544="", "", $AI544 * Premissas!$B$12)</f>
        <v/>
      </c>
      <c r="AK544" s="47" t="str">
        <f t="shared" si="13"/>
        <v/>
      </c>
      <c r="AL544" s="47"/>
      <c r="AM544" s="47"/>
    </row>
    <row r="545" ht="15.75" customHeight="1">
      <c r="K545" s="47" t="str">
        <f>IF($A545="", "", IFERROR($E545 * ($I545/$B545) * Premissas!$B$6, 0))</f>
        <v/>
      </c>
      <c r="L545" s="47" t="str">
        <f>IF($A545="", "", IFERROR(($E545 * Premissas!$B$4 * ($I545/$B545) + $E544 * Premissas!$B$5 * ($I544/$B544)) * Premissas!$B$7, 0))</f>
        <v/>
      </c>
      <c r="AI545" s="47" t="str">
        <f>IF($A545="", "", IFERROR(($I545 * Premissas!$B$5) + ($E545 * ($I545/$B545) * Premissas!$B$4 * 12), 0))</f>
        <v/>
      </c>
      <c r="AJ545" s="47" t="str">
        <f>IF($A545="", "", $AI545 * Premissas!$B$12)</f>
        <v/>
      </c>
      <c r="AK545" s="47" t="str">
        <f t="shared" si="13"/>
        <v/>
      </c>
      <c r="AL545" s="47"/>
      <c r="AM545" s="47"/>
    </row>
    <row r="546" ht="15.75" customHeight="1">
      <c r="K546" s="47" t="str">
        <f>IF($A546="", "", IFERROR($E546 * ($I546/$B546) * Premissas!$B$6, 0))</f>
        <v/>
      </c>
      <c r="L546" s="47" t="str">
        <f>IF($A546="", "", IFERROR(($E546 * Premissas!$B$4 * ($I546/$B546) + $E545 * Premissas!$B$5 * ($I545/$B545)) * Premissas!$B$7, 0))</f>
        <v/>
      </c>
      <c r="AI546" s="47" t="str">
        <f>IF($A546="", "", IFERROR(($I546 * Premissas!$B$5) + ($E546 * ($I546/$B546) * Premissas!$B$4 * 12), 0))</f>
        <v/>
      </c>
      <c r="AJ546" s="47" t="str">
        <f>IF($A546="", "", $AI546 * Premissas!$B$12)</f>
        <v/>
      </c>
      <c r="AK546" s="47" t="str">
        <f t="shared" si="13"/>
        <v/>
      </c>
      <c r="AL546" s="47"/>
      <c r="AM546" s="47"/>
    </row>
    <row r="547" ht="15.75" customHeight="1">
      <c r="K547" s="47" t="str">
        <f>IF($A547="", "", IFERROR($E547 * ($I547/$B547) * Premissas!$B$6, 0))</f>
        <v/>
      </c>
      <c r="L547" s="47" t="str">
        <f>IF($A547="", "", IFERROR(($E547 * Premissas!$B$4 * ($I547/$B547) + $E546 * Premissas!$B$5 * ($I546/$B546)) * Premissas!$B$7, 0))</f>
        <v/>
      </c>
      <c r="AI547" s="47" t="str">
        <f>IF($A547="", "", IFERROR(($I547 * Premissas!$B$5) + ($E547 * ($I547/$B547) * Premissas!$B$4 * 12), 0))</f>
        <v/>
      </c>
      <c r="AJ547" s="47" t="str">
        <f>IF($A547="", "", $AI547 * Premissas!$B$12)</f>
        <v/>
      </c>
      <c r="AK547" s="47" t="str">
        <f t="shared" si="13"/>
        <v/>
      </c>
      <c r="AL547" s="47"/>
      <c r="AM547" s="47"/>
    </row>
    <row r="548" ht="15.75" customHeight="1">
      <c r="K548" s="47" t="str">
        <f>IF($A548="", "", IFERROR($E548 * ($I548/$B548) * Premissas!$B$6, 0))</f>
        <v/>
      </c>
      <c r="L548" s="47" t="str">
        <f>IF($A548="", "", IFERROR(($E548 * Premissas!$B$4 * ($I548/$B548) + $E547 * Premissas!$B$5 * ($I547/$B547)) * Premissas!$B$7, 0))</f>
        <v/>
      </c>
      <c r="AI548" s="47" t="str">
        <f>IF($A548="", "", IFERROR(($I548 * Premissas!$B$5) + ($E548 * ($I548/$B548) * Premissas!$B$4 * 12), 0))</f>
        <v/>
      </c>
      <c r="AJ548" s="47" t="str">
        <f>IF($A548="", "", $AI548 * Premissas!$B$12)</f>
        <v/>
      </c>
      <c r="AK548" s="47" t="str">
        <f t="shared" si="13"/>
        <v/>
      </c>
      <c r="AL548" s="47"/>
      <c r="AM548" s="47"/>
    </row>
    <row r="549" ht="15.75" customHeight="1">
      <c r="K549" s="47" t="str">
        <f>IF($A549="", "", IFERROR($E549 * ($I549/$B549) * Premissas!$B$6, 0))</f>
        <v/>
      </c>
      <c r="L549" s="47" t="str">
        <f>IF($A549="", "", IFERROR(($E549 * Premissas!$B$4 * ($I549/$B549) + $E548 * Premissas!$B$5 * ($I548/$B548)) * Premissas!$B$7, 0))</f>
        <v/>
      </c>
      <c r="AI549" s="47" t="str">
        <f>IF($A549="", "", IFERROR(($I549 * Premissas!$B$5) + ($E549 * ($I549/$B549) * Premissas!$B$4 * 12), 0))</f>
        <v/>
      </c>
      <c r="AJ549" s="47" t="str">
        <f>IF($A549="", "", $AI549 * Premissas!$B$12)</f>
        <v/>
      </c>
      <c r="AK549" s="47" t="str">
        <f t="shared" si="13"/>
        <v/>
      </c>
      <c r="AL549" s="47"/>
      <c r="AM549" s="47"/>
    </row>
    <row r="550" ht="15.75" customHeight="1">
      <c r="K550" s="47" t="str">
        <f>IF($A550="", "", IFERROR($E550 * ($I550/$B550) * Premissas!$B$6, 0))</f>
        <v/>
      </c>
      <c r="L550" s="47" t="str">
        <f>IF($A550="", "", IFERROR(($E550 * Premissas!$B$4 * ($I550/$B550) + $E549 * Premissas!$B$5 * ($I549/$B549)) * Premissas!$B$7, 0))</f>
        <v/>
      </c>
      <c r="AI550" s="47" t="str">
        <f>IF($A550="", "", IFERROR(($I550 * Premissas!$B$5) + ($E550 * ($I550/$B550) * Premissas!$B$4 * 12), 0))</f>
        <v/>
      </c>
      <c r="AJ550" s="47" t="str">
        <f>IF($A550="", "", $AI550 * Premissas!$B$12)</f>
        <v/>
      </c>
      <c r="AK550" s="47" t="str">
        <f t="shared" si="13"/>
        <v/>
      </c>
      <c r="AL550" s="47"/>
      <c r="AM550" s="47"/>
    </row>
    <row r="551" ht="15.75" customHeight="1">
      <c r="K551" s="47" t="str">
        <f>IF($A551="", "", IFERROR($E551 * ($I551/$B551) * Premissas!$B$6, 0))</f>
        <v/>
      </c>
      <c r="L551" s="47" t="str">
        <f>IF($A551="", "", IFERROR(($E551 * Premissas!$B$4 * ($I551/$B551) + $E550 * Premissas!$B$5 * ($I550/$B550)) * Premissas!$B$7, 0))</f>
        <v/>
      </c>
      <c r="AI551" s="47" t="str">
        <f>IF($A551="", "", IFERROR(($I551 * Premissas!$B$5) + ($E551 * ($I551/$B551) * Premissas!$B$4 * 12), 0))</f>
        <v/>
      </c>
      <c r="AJ551" s="47" t="str">
        <f>IF($A551="", "", $AI551 * Premissas!$B$12)</f>
        <v/>
      </c>
      <c r="AK551" s="47" t="str">
        <f t="shared" si="13"/>
        <v/>
      </c>
      <c r="AL551" s="47"/>
      <c r="AM551" s="47"/>
    </row>
    <row r="552" ht="15.75" customHeight="1">
      <c r="K552" s="47" t="str">
        <f>IF($A552="", "", IFERROR($E552 * ($I552/$B552) * Premissas!$B$6, 0))</f>
        <v/>
      </c>
      <c r="L552" s="47" t="str">
        <f>IF($A552="", "", IFERROR(($E552 * Premissas!$B$4 * ($I552/$B552) + $E551 * Premissas!$B$5 * ($I551/$B551)) * Premissas!$B$7, 0))</f>
        <v/>
      </c>
      <c r="AI552" s="47" t="str">
        <f>IF($A552="", "", IFERROR(($I552 * Premissas!$B$5) + ($E552 * ($I552/$B552) * Premissas!$B$4 * 12), 0))</f>
        <v/>
      </c>
      <c r="AJ552" s="47" t="str">
        <f>IF($A552="", "", $AI552 * Premissas!$B$12)</f>
        <v/>
      </c>
      <c r="AK552" s="47" t="str">
        <f t="shared" si="13"/>
        <v/>
      </c>
      <c r="AL552" s="47"/>
      <c r="AM552" s="47"/>
    </row>
    <row r="553" ht="15.75" customHeight="1">
      <c r="K553" s="47" t="str">
        <f>IF($A553="", "", IFERROR($E553 * ($I553/$B553) * Premissas!$B$6, 0))</f>
        <v/>
      </c>
      <c r="L553" s="47" t="str">
        <f>IF($A553="", "", IFERROR(($E553 * Premissas!$B$4 * ($I553/$B553) + $E552 * Premissas!$B$5 * ($I552/$B552)) * Premissas!$B$7, 0))</f>
        <v/>
      </c>
      <c r="AI553" s="47" t="str">
        <f>IF($A553="", "", IFERROR(($I553 * Premissas!$B$5) + ($E553 * ($I553/$B553) * Premissas!$B$4 * 12), 0))</f>
        <v/>
      </c>
      <c r="AJ553" s="47" t="str">
        <f>IF($A553="", "", $AI553 * Premissas!$B$12)</f>
        <v/>
      </c>
      <c r="AK553" s="47" t="str">
        <f t="shared" si="13"/>
        <v/>
      </c>
      <c r="AL553" s="47"/>
      <c r="AM553" s="47"/>
    </row>
    <row r="554" ht="15.75" customHeight="1">
      <c r="K554" s="47" t="str">
        <f>IF($A554="", "", IFERROR($E554 * ($I554/$B554) * Premissas!$B$6, 0))</f>
        <v/>
      </c>
      <c r="L554" s="47" t="str">
        <f>IF($A554="", "", IFERROR(($E554 * Premissas!$B$4 * ($I554/$B554) + $E553 * Premissas!$B$5 * ($I553/$B553)) * Premissas!$B$7, 0))</f>
        <v/>
      </c>
      <c r="AI554" s="47" t="str">
        <f>IF($A554="", "", IFERROR(($I554 * Premissas!$B$5) + ($E554 * ($I554/$B554) * Premissas!$B$4 * 12), 0))</f>
        <v/>
      </c>
      <c r="AJ554" s="47" t="str">
        <f>IF($A554="", "", $AI554 * Premissas!$B$12)</f>
        <v/>
      </c>
      <c r="AK554" s="47" t="str">
        <f t="shared" si="13"/>
        <v/>
      </c>
      <c r="AL554" s="47"/>
      <c r="AM554" s="47"/>
    </row>
    <row r="555" ht="15.75" customHeight="1">
      <c r="K555" s="47" t="str">
        <f>IF($A555="", "", IFERROR($E555 * ($I555/$B555) * Premissas!$B$6, 0))</f>
        <v/>
      </c>
      <c r="L555" s="47" t="str">
        <f>IF($A555="", "", IFERROR(($E555 * Premissas!$B$4 * ($I555/$B555) + $E554 * Premissas!$B$5 * ($I554/$B554)) * Premissas!$B$7, 0))</f>
        <v/>
      </c>
      <c r="AI555" s="47" t="str">
        <f>IF($A555="", "", IFERROR(($I555 * Premissas!$B$5) + ($E555 * ($I555/$B555) * Premissas!$B$4 * 12), 0))</f>
        <v/>
      </c>
      <c r="AJ555" s="47" t="str">
        <f>IF($A555="", "", $AI555 * Premissas!$B$12)</f>
        <v/>
      </c>
      <c r="AK555" s="47" t="str">
        <f t="shared" si="13"/>
        <v/>
      </c>
      <c r="AL555" s="47"/>
      <c r="AM555" s="47"/>
    </row>
    <row r="556" ht="15.75" customHeight="1">
      <c r="K556" s="47" t="str">
        <f>IF($A556="", "", IFERROR($E556 * ($I556/$B556) * Premissas!$B$6, 0))</f>
        <v/>
      </c>
      <c r="L556" s="47" t="str">
        <f>IF($A556="", "", IFERROR(($E556 * Premissas!$B$4 * ($I556/$B556) + $E555 * Premissas!$B$5 * ($I555/$B555)) * Premissas!$B$7, 0))</f>
        <v/>
      </c>
      <c r="AI556" s="47" t="str">
        <f>IF($A556="", "", IFERROR(($I556 * Premissas!$B$5) + ($E556 * ($I556/$B556) * Premissas!$B$4 * 12), 0))</f>
        <v/>
      </c>
      <c r="AJ556" s="47" t="str">
        <f>IF($A556="", "", $AI556 * Premissas!$B$12)</f>
        <v/>
      </c>
      <c r="AK556" s="47" t="str">
        <f t="shared" si="13"/>
        <v/>
      </c>
      <c r="AL556" s="47"/>
      <c r="AM556" s="47"/>
    </row>
    <row r="557" ht="15.75" customHeight="1">
      <c r="K557" s="47" t="str">
        <f>IF($A557="", "", IFERROR($E557 * ($I557/$B557) * Premissas!$B$6, 0))</f>
        <v/>
      </c>
      <c r="L557" s="47" t="str">
        <f>IF($A557="", "", IFERROR(($E557 * Premissas!$B$4 * ($I557/$B557) + $E556 * Premissas!$B$5 * ($I556/$B556)) * Premissas!$B$7, 0))</f>
        <v/>
      </c>
      <c r="AI557" s="47" t="str">
        <f>IF($A557="", "", IFERROR(($I557 * Premissas!$B$5) + ($E557 * ($I557/$B557) * Premissas!$B$4 * 12), 0))</f>
        <v/>
      </c>
      <c r="AJ557" s="47" t="str">
        <f>IF($A557="", "", $AI557 * Premissas!$B$12)</f>
        <v/>
      </c>
      <c r="AK557" s="47" t="str">
        <f t="shared" si="13"/>
        <v/>
      </c>
      <c r="AL557" s="47"/>
      <c r="AM557" s="47"/>
    </row>
    <row r="558" ht="15.75" customHeight="1">
      <c r="K558" s="47" t="str">
        <f>IF($A558="", "", IFERROR($E558 * ($I558/$B558) * Premissas!$B$6, 0))</f>
        <v/>
      </c>
      <c r="L558" s="47" t="str">
        <f>IF($A558="", "", IFERROR(($E558 * Premissas!$B$4 * ($I558/$B558) + $E557 * Premissas!$B$5 * ($I557/$B557)) * Premissas!$B$7, 0))</f>
        <v/>
      </c>
      <c r="AI558" s="47" t="str">
        <f>IF($A558="", "", IFERROR(($I558 * Premissas!$B$5) + ($E558 * ($I558/$B558) * Premissas!$B$4 * 12), 0))</f>
        <v/>
      </c>
      <c r="AJ558" s="47" t="str">
        <f>IF($A558="", "", $AI558 * Premissas!$B$12)</f>
        <v/>
      </c>
      <c r="AK558" s="47" t="str">
        <f t="shared" si="13"/>
        <v/>
      </c>
      <c r="AL558" s="47"/>
      <c r="AM558" s="47"/>
    </row>
    <row r="559" ht="15.75" customHeight="1">
      <c r="K559" s="47" t="str">
        <f>IF($A559="", "", IFERROR($E559 * ($I559/$B559) * Premissas!$B$6, 0))</f>
        <v/>
      </c>
      <c r="L559" s="47" t="str">
        <f>IF($A559="", "", IFERROR(($E559 * Premissas!$B$4 * ($I559/$B559) + $E558 * Premissas!$B$5 * ($I558/$B558)) * Premissas!$B$7, 0))</f>
        <v/>
      </c>
      <c r="AI559" s="47" t="str">
        <f>IF($A559="", "", IFERROR(($I559 * Premissas!$B$5) + ($E559 * ($I559/$B559) * Premissas!$B$4 * 12), 0))</f>
        <v/>
      </c>
      <c r="AJ559" s="47" t="str">
        <f>IF($A559="", "", $AI559 * Premissas!$B$12)</f>
        <v/>
      </c>
      <c r="AK559" s="47" t="str">
        <f t="shared" si="13"/>
        <v/>
      </c>
      <c r="AL559" s="47"/>
      <c r="AM559" s="47"/>
    </row>
    <row r="560" ht="15.75" customHeight="1">
      <c r="K560" s="47" t="str">
        <f>IF($A560="", "", IFERROR($E560 * ($I560/$B560) * Premissas!$B$6, 0))</f>
        <v/>
      </c>
      <c r="L560" s="47" t="str">
        <f>IF($A560="", "", IFERROR(($E560 * Premissas!$B$4 * ($I560/$B560) + $E559 * Premissas!$B$5 * ($I559/$B559)) * Premissas!$B$7, 0))</f>
        <v/>
      </c>
      <c r="AI560" s="47" t="str">
        <f>IF($A560="", "", IFERROR(($I560 * Premissas!$B$5) + ($E560 * ($I560/$B560) * Premissas!$B$4 * 12), 0))</f>
        <v/>
      </c>
      <c r="AJ560" s="47" t="str">
        <f>IF($A560="", "", $AI560 * Premissas!$B$12)</f>
        <v/>
      </c>
      <c r="AK560" s="47" t="str">
        <f t="shared" si="13"/>
        <v/>
      </c>
      <c r="AL560" s="47"/>
      <c r="AM560" s="47"/>
    </row>
    <row r="561" ht="15.75" customHeight="1">
      <c r="K561" s="47" t="str">
        <f>IF($A561="", "", IFERROR($E561 * ($I561/$B561) * Premissas!$B$6, 0))</f>
        <v/>
      </c>
      <c r="L561" s="47" t="str">
        <f>IF($A561="", "", IFERROR(($E561 * Premissas!$B$4 * ($I561/$B561) + $E560 * Premissas!$B$5 * ($I560/$B560)) * Premissas!$B$7, 0))</f>
        <v/>
      </c>
      <c r="AI561" s="47" t="str">
        <f>IF($A561="", "", IFERROR(($I561 * Premissas!$B$5) + ($E561 * ($I561/$B561) * Premissas!$B$4 * 12), 0))</f>
        <v/>
      </c>
      <c r="AJ561" s="47" t="str">
        <f>IF($A561="", "", $AI561 * Premissas!$B$12)</f>
        <v/>
      </c>
      <c r="AK561" s="47" t="str">
        <f t="shared" si="13"/>
        <v/>
      </c>
      <c r="AL561" s="47"/>
      <c r="AM561" s="47"/>
    </row>
    <row r="562" ht="15.75" customHeight="1">
      <c r="K562" s="47" t="str">
        <f>IF($A562="", "", IFERROR($E562 * ($I562/$B562) * Premissas!$B$6, 0))</f>
        <v/>
      </c>
      <c r="L562" s="47" t="str">
        <f>IF($A562="", "", IFERROR(($E562 * Premissas!$B$4 * ($I562/$B562) + $E561 * Premissas!$B$5 * ($I561/$B561)) * Premissas!$B$7, 0))</f>
        <v/>
      </c>
      <c r="AI562" s="47" t="str">
        <f>IF($A562="", "", IFERROR(($I562 * Premissas!$B$5) + ($E562 * ($I562/$B562) * Premissas!$B$4 * 12), 0))</f>
        <v/>
      </c>
      <c r="AJ562" s="47" t="str">
        <f>IF($A562="", "", $AI562 * Premissas!$B$12)</f>
        <v/>
      </c>
      <c r="AK562" s="47" t="str">
        <f t="shared" si="13"/>
        <v/>
      </c>
      <c r="AL562" s="47"/>
      <c r="AM562" s="47"/>
    </row>
    <row r="563" ht="15.75" customHeight="1">
      <c r="K563" s="47" t="str">
        <f>IF($A563="", "", IFERROR($E563 * ($I563/$B563) * Premissas!$B$6, 0))</f>
        <v/>
      </c>
      <c r="L563" s="47" t="str">
        <f>IF($A563="", "", IFERROR(($E563 * Premissas!$B$4 * ($I563/$B563) + $E562 * Premissas!$B$5 * ($I562/$B562)) * Premissas!$B$7, 0))</f>
        <v/>
      </c>
      <c r="AI563" s="47" t="str">
        <f>IF($A563="", "", IFERROR(($I563 * Premissas!$B$5) + ($E563 * ($I563/$B563) * Premissas!$B$4 * 12), 0))</f>
        <v/>
      </c>
      <c r="AJ563" s="47" t="str">
        <f>IF($A563="", "", $AI563 * Premissas!$B$12)</f>
        <v/>
      </c>
      <c r="AK563" s="47" t="str">
        <f t="shared" si="13"/>
        <v/>
      </c>
      <c r="AL563" s="47"/>
      <c r="AM563" s="47"/>
    </row>
    <row r="564" ht="15.75" customHeight="1">
      <c r="K564" s="47" t="str">
        <f>IF($A564="", "", IFERROR($E564 * ($I564/$B564) * Premissas!$B$6, 0))</f>
        <v/>
      </c>
      <c r="L564" s="47" t="str">
        <f>IF($A564="", "", IFERROR(($E564 * Premissas!$B$4 * ($I564/$B564) + $E563 * Premissas!$B$5 * ($I563/$B563)) * Premissas!$B$7, 0))</f>
        <v/>
      </c>
      <c r="AI564" s="47" t="str">
        <f>IF($A564="", "", IFERROR(($I564 * Premissas!$B$5) + ($E564 * ($I564/$B564) * Premissas!$B$4 * 12), 0))</f>
        <v/>
      </c>
      <c r="AJ564" s="47" t="str">
        <f>IF($A564="", "", $AI564 * Premissas!$B$12)</f>
        <v/>
      </c>
      <c r="AK564" s="47" t="str">
        <f t="shared" si="13"/>
        <v/>
      </c>
      <c r="AL564" s="47"/>
      <c r="AM564" s="47"/>
    </row>
    <row r="565" ht="15.75" customHeight="1">
      <c r="K565" s="47" t="str">
        <f>IF($A565="", "", IFERROR($E565 * ($I565/$B565) * Premissas!$B$6, 0))</f>
        <v/>
      </c>
      <c r="L565" s="47" t="str">
        <f>IF($A565="", "", IFERROR(($E565 * Premissas!$B$4 * ($I565/$B565) + $E564 * Premissas!$B$5 * ($I564/$B564)) * Premissas!$B$7, 0))</f>
        <v/>
      </c>
      <c r="AI565" s="47" t="str">
        <f>IF($A565="", "", IFERROR(($I565 * Premissas!$B$5) + ($E565 * ($I565/$B565) * Premissas!$B$4 * 12), 0))</f>
        <v/>
      </c>
      <c r="AJ565" s="47" t="str">
        <f>IF($A565="", "", $AI565 * Premissas!$B$12)</f>
        <v/>
      </c>
      <c r="AK565" s="47" t="str">
        <f t="shared" si="13"/>
        <v/>
      </c>
      <c r="AL565" s="47"/>
      <c r="AM565" s="47"/>
    </row>
    <row r="566" ht="15.75" customHeight="1">
      <c r="K566" s="47" t="str">
        <f>IF($A566="", "", IFERROR($E566 * ($I566/$B566) * Premissas!$B$6, 0))</f>
        <v/>
      </c>
      <c r="L566" s="47" t="str">
        <f>IF($A566="", "", IFERROR(($E566 * Premissas!$B$4 * ($I566/$B566) + $E565 * Premissas!$B$5 * ($I565/$B565)) * Premissas!$B$7, 0))</f>
        <v/>
      </c>
      <c r="AI566" s="47" t="str">
        <f>IF($A566="", "", IFERROR(($I566 * Premissas!$B$5) + ($E566 * ($I566/$B566) * Premissas!$B$4 * 12), 0))</f>
        <v/>
      </c>
      <c r="AJ566" s="47" t="str">
        <f>IF($A566="", "", $AI566 * Premissas!$B$12)</f>
        <v/>
      </c>
      <c r="AK566" s="47" t="str">
        <f t="shared" si="13"/>
        <v/>
      </c>
      <c r="AL566" s="47"/>
      <c r="AM566" s="47"/>
    </row>
    <row r="567" ht="15.75" customHeight="1">
      <c r="K567" s="47" t="str">
        <f>IF($A567="", "", IFERROR($E567 * ($I567/$B567) * Premissas!$B$6, 0))</f>
        <v/>
      </c>
      <c r="L567" s="47" t="str">
        <f>IF($A567="", "", IFERROR(($E567 * Premissas!$B$4 * ($I567/$B567) + $E566 * Premissas!$B$5 * ($I566/$B566)) * Premissas!$B$7, 0))</f>
        <v/>
      </c>
      <c r="AI567" s="47" t="str">
        <f>IF($A567="", "", IFERROR(($I567 * Premissas!$B$5) + ($E567 * ($I567/$B567) * Premissas!$B$4 * 12), 0))</f>
        <v/>
      </c>
      <c r="AJ567" s="47" t="str">
        <f>IF($A567="", "", $AI567 * Premissas!$B$12)</f>
        <v/>
      </c>
      <c r="AK567" s="47" t="str">
        <f t="shared" si="13"/>
        <v/>
      </c>
      <c r="AL567" s="47"/>
      <c r="AM567" s="47"/>
    </row>
    <row r="568" ht="15.75" customHeight="1">
      <c r="K568" s="47" t="str">
        <f>IF($A568="", "", IFERROR($E568 * ($I568/$B568) * Premissas!$B$6, 0))</f>
        <v/>
      </c>
      <c r="L568" s="47" t="str">
        <f>IF($A568="", "", IFERROR(($E568 * Premissas!$B$4 * ($I568/$B568) + $E567 * Premissas!$B$5 * ($I567/$B567)) * Premissas!$B$7, 0))</f>
        <v/>
      </c>
      <c r="AI568" s="47" t="str">
        <f>IF($A568="", "", IFERROR(($I568 * Premissas!$B$5) + ($E568 * ($I568/$B568) * Premissas!$B$4 * 12), 0))</f>
        <v/>
      </c>
      <c r="AJ568" s="47" t="str">
        <f>IF($A568="", "", $AI568 * Premissas!$B$12)</f>
        <v/>
      </c>
      <c r="AK568" s="47" t="str">
        <f t="shared" si="13"/>
        <v/>
      </c>
      <c r="AL568" s="47"/>
      <c r="AM568" s="47"/>
    </row>
    <row r="569" ht="15.75" customHeight="1">
      <c r="K569" s="47" t="str">
        <f>IF($A569="", "", IFERROR($E569 * ($I569/$B569) * Premissas!$B$6, 0))</f>
        <v/>
      </c>
      <c r="L569" s="47" t="str">
        <f>IF($A569="", "", IFERROR(($E569 * Premissas!$B$4 * ($I569/$B569) + $E568 * Premissas!$B$5 * ($I568/$B568)) * Premissas!$B$7, 0))</f>
        <v/>
      </c>
      <c r="AI569" s="47" t="str">
        <f>IF($A569="", "", IFERROR(($I569 * Premissas!$B$5) + ($E569 * ($I569/$B569) * Premissas!$B$4 * 12), 0))</f>
        <v/>
      </c>
      <c r="AJ569" s="47" t="str">
        <f>IF($A569="", "", $AI569 * Premissas!$B$12)</f>
        <v/>
      </c>
      <c r="AK569" s="47" t="str">
        <f t="shared" si="13"/>
        <v/>
      </c>
      <c r="AL569" s="47"/>
      <c r="AM569" s="47"/>
    </row>
    <row r="570" ht="15.75" customHeight="1">
      <c r="K570" s="47" t="str">
        <f>IF($A570="", "", IFERROR($E570 * ($I570/$B570) * Premissas!$B$6, 0))</f>
        <v/>
      </c>
      <c r="L570" s="47" t="str">
        <f>IF($A570="", "", IFERROR(($E570 * Premissas!$B$4 * ($I570/$B570) + $E569 * Premissas!$B$5 * ($I569/$B569)) * Premissas!$B$7, 0))</f>
        <v/>
      </c>
      <c r="AI570" s="47" t="str">
        <f>IF($A570="", "", IFERROR(($I570 * Premissas!$B$5) + ($E570 * ($I570/$B570) * Premissas!$B$4 * 12), 0))</f>
        <v/>
      </c>
      <c r="AJ570" s="47" t="str">
        <f>IF($A570="", "", $AI570 * Premissas!$B$12)</f>
        <v/>
      </c>
      <c r="AK570" s="47" t="str">
        <f t="shared" si="13"/>
        <v/>
      </c>
      <c r="AL570" s="47"/>
      <c r="AM570" s="47"/>
    </row>
    <row r="571" ht="15.75" customHeight="1">
      <c r="K571" s="47" t="str">
        <f>IF($A571="", "", IFERROR($E571 * ($I571/$B571) * Premissas!$B$6, 0))</f>
        <v/>
      </c>
      <c r="L571" s="47" t="str">
        <f>IF($A571="", "", IFERROR(($E571 * Premissas!$B$4 * ($I571/$B571) + $E570 * Premissas!$B$5 * ($I570/$B570)) * Premissas!$B$7, 0))</f>
        <v/>
      </c>
      <c r="AI571" s="47" t="str">
        <f>IF($A571="", "", IFERROR(($I571 * Premissas!$B$5) + ($E571 * ($I571/$B571) * Premissas!$B$4 * 12), 0))</f>
        <v/>
      </c>
      <c r="AJ571" s="47" t="str">
        <f>IF($A571="", "", $AI571 * Premissas!$B$12)</f>
        <v/>
      </c>
      <c r="AK571" s="47" t="str">
        <f t="shared" si="13"/>
        <v/>
      </c>
      <c r="AL571" s="47"/>
      <c r="AM571" s="47"/>
    </row>
    <row r="572" ht="15.75" customHeight="1">
      <c r="K572" s="47" t="str">
        <f>IF($A572="", "", IFERROR($E572 * ($I572/$B572) * Premissas!$B$6, 0))</f>
        <v/>
      </c>
      <c r="L572" s="47" t="str">
        <f>IF($A572="", "", IFERROR(($E572 * Premissas!$B$4 * ($I572/$B572) + $E571 * Premissas!$B$5 * ($I571/$B571)) * Premissas!$B$7, 0))</f>
        <v/>
      </c>
      <c r="AI572" s="47" t="str">
        <f>IF($A572="", "", IFERROR(($I572 * Premissas!$B$5) + ($E572 * ($I572/$B572) * Premissas!$B$4 * 12), 0))</f>
        <v/>
      </c>
      <c r="AJ572" s="47" t="str">
        <f>IF($A572="", "", $AI572 * Premissas!$B$12)</f>
        <v/>
      </c>
      <c r="AK572" s="47" t="str">
        <f t="shared" si="13"/>
        <v/>
      </c>
      <c r="AL572" s="47"/>
      <c r="AM572" s="47"/>
    </row>
    <row r="573" ht="15.75" customHeight="1">
      <c r="K573" s="47" t="str">
        <f>IF($A573="", "", IFERROR($E573 * ($I573/$B573) * Premissas!$B$6, 0))</f>
        <v/>
      </c>
      <c r="L573" s="47" t="str">
        <f>IF($A573="", "", IFERROR(($E573 * Premissas!$B$4 * ($I573/$B573) + $E572 * Premissas!$B$5 * ($I572/$B572)) * Premissas!$B$7, 0))</f>
        <v/>
      </c>
      <c r="AI573" s="47" t="str">
        <f>IF($A573="", "", IFERROR(($I573 * Premissas!$B$5) + ($E573 * ($I573/$B573) * Premissas!$B$4 * 12), 0))</f>
        <v/>
      </c>
      <c r="AJ573" s="47" t="str">
        <f>IF($A573="", "", $AI573 * Premissas!$B$12)</f>
        <v/>
      </c>
      <c r="AK573" s="47" t="str">
        <f t="shared" si="13"/>
        <v/>
      </c>
      <c r="AL573" s="47"/>
      <c r="AM573" s="47"/>
    </row>
    <row r="574" ht="15.75" customHeight="1">
      <c r="K574" s="47" t="str">
        <f>IF($A574="", "", IFERROR($E574 * ($I574/$B574) * Premissas!$B$6, 0))</f>
        <v/>
      </c>
      <c r="L574" s="47" t="str">
        <f>IF($A574="", "", IFERROR(($E574 * Premissas!$B$4 * ($I574/$B574) + $E573 * Premissas!$B$5 * ($I573/$B573)) * Premissas!$B$7, 0))</f>
        <v/>
      </c>
      <c r="AI574" s="47" t="str">
        <f>IF($A574="", "", IFERROR(($I574 * Premissas!$B$5) + ($E574 * ($I574/$B574) * Premissas!$B$4 * 12), 0))</f>
        <v/>
      </c>
      <c r="AJ574" s="47" t="str">
        <f>IF($A574="", "", $AI574 * Premissas!$B$12)</f>
        <v/>
      </c>
      <c r="AK574" s="47" t="str">
        <f t="shared" si="13"/>
        <v/>
      </c>
      <c r="AL574" s="47"/>
      <c r="AM574" s="47"/>
    </row>
    <row r="575" ht="15.75" customHeight="1">
      <c r="K575" s="47" t="str">
        <f>IF($A575="", "", IFERROR($E575 * ($I575/$B575) * Premissas!$B$6, 0))</f>
        <v/>
      </c>
      <c r="L575" s="47" t="str">
        <f>IF($A575="", "", IFERROR(($E575 * Premissas!$B$4 * ($I575/$B575) + $E574 * Premissas!$B$5 * ($I574/$B574)) * Premissas!$B$7, 0))</f>
        <v/>
      </c>
      <c r="AI575" s="47" t="str">
        <f>IF($A575="", "", IFERROR(($I575 * Premissas!$B$5) + ($E575 * ($I575/$B575) * Premissas!$B$4 * 12), 0))</f>
        <v/>
      </c>
      <c r="AJ575" s="47" t="str">
        <f>IF($A575="", "", $AI575 * Premissas!$B$12)</f>
        <v/>
      </c>
      <c r="AK575" s="47" t="str">
        <f t="shared" si="13"/>
        <v/>
      </c>
      <c r="AL575" s="47"/>
      <c r="AM575" s="47"/>
    </row>
    <row r="576" ht="15.75" customHeight="1">
      <c r="K576" s="47" t="str">
        <f>IF($A576="", "", IFERROR($E576 * ($I576/$B576) * Premissas!$B$6, 0))</f>
        <v/>
      </c>
      <c r="L576" s="47" t="str">
        <f>IF($A576="", "", IFERROR(($E576 * Premissas!$B$4 * ($I576/$B576) + $E575 * Premissas!$B$5 * ($I575/$B575)) * Premissas!$B$7, 0))</f>
        <v/>
      </c>
      <c r="AI576" s="47" t="str">
        <f>IF($A576="", "", IFERROR(($I576 * Premissas!$B$5) + ($E576 * ($I576/$B576) * Premissas!$B$4 * 12), 0))</f>
        <v/>
      </c>
      <c r="AJ576" s="47" t="str">
        <f>IF($A576="", "", $AI576 * Premissas!$B$12)</f>
        <v/>
      </c>
      <c r="AK576" s="47" t="str">
        <f t="shared" si="13"/>
        <v/>
      </c>
      <c r="AL576" s="47"/>
      <c r="AM576" s="47"/>
    </row>
    <row r="577" ht="15.75" customHeight="1">
      <c r="K577" s="47" t="str">
        <f>IF($A577="", "", IFERROR($E577 * ($I577/$B577) * Premissas!$B$6, 0))</f>
        <v/>
      </c>
      <c r="L577" s="47" t="str">
        <f>IF($A577="", "", IFERROR(($E577 * Premissas!$B$4 * ($I577/$B577) + $E576 * Premissas!$B$5 * ($I576/$B576)) * Premissas!$B$7, 0))</f>
        <v/>
      </c>
      <c r="AI577" s="47" t="str">
        <f>IF($A577="", "", IFERROR(($I577 * Premissas!$B$5) + ($E577 * ($I577/$B577) * Premissas!$B$4 * 12), 0))</f>
        <v/>
      </c>
      <c r="AJ577" s="47" t="str">
        <f>IF($A577="", "", $AI577 * Premissas!$B$12)</f>
        <v/>
      </c>
      <c r="AK577" s="47" t="str">
        <f t="shared" si="13"/>
        <v/>
      </c>
      <c r="AL577" s="47"/>
      <c r="AM577" s="47"/>
    </row>
    <row r="578" ht="15.75" customHeight="1">
      <c r="K578" s="47" t="str">
        <f>IF($A578="", "", IFERROR($E578 * ($I578/$B578) * Premissas!$B$6, 0))</f>
        <v/>
      </c>
      <c r="L578" s="47" t="str">
        <f>IF($A578="", "", IFERROR(($E578 * Premissas!$B$4 * ($I578/$B578) + $E577 * Premissas!$B$5 * ($I577/$B577)) * Premissas!$B$7, 0))</f>
        <v/>
      </c>
      <c r="AI578" s="47" t="str">
        <f>IF($A578="", "", IFERROR(($I578 * Premissas!$B$5) + ($E578 * ($I578/$B578) * Premissas!$B$4 * 12), 0))</f>
        <v/>
      </c>
      <c r="AJ578" s="47" t="str">
        <f>IF($A578="", "", $AI578 * Premissas!$B$12)</f>
        <v/>
      </c>
      <c r="AK578" s="47" t="str">
        <f t="shared" si="13"/>
        <v/>
      </c>
      <c r="AL578" s="47"/>
      <c r="AM578" s="47"/>
    </row>
    <row r="579" ht="15.75" customHeight="1">
      <c r="K579" s="47" t="str">
        <f>IF($A579="", "", IFERROR($E579 * ($I579/$B579) * Premissas!$B$6, 0))</f>
        <v/>
      </c>
      <c r="L579" s="47" t="str">
        <f>IF($A579="", "", IFERROR(($E579 * Premissas!$B$4 * ($I579/$B579) + $E578 * Premissas!$B$5 * ($I578/$B578)) * Premissas!$B$7, 0))</f>
        <v/>
      </c>
      <c r="AI579" s="47" t="str">
        <f>IF($A579="", "", IFERROR(($I579 * Premissas!$B$5) + ($E579 * ($I579/$B579) * Premissas!$B$4 * 12), 0))</f>
        <v/>
      </c>
      <c r="AJ579" s="47" t="str">
        <f>IF($A579="", "", $AI579 * Premissas!$B$12)</f>
        <v/>
      </c>
      <c r="AK579" s="47" t="str">
        <f t="shared" si="13"/>
        <v/>
      </c>
      <c r="AL579" s="47"/>
      <c r="AM579" s="47"/>
    </row>
    <row r="580" ht="15.75" customHeight="1">
      <c r="K580" s="47" t="str">
        <f>IF($A580="", "", IFERROR($E580 * ($I580/$B580) * Premissas!$B$6, 0))</f>
        <v/>
      </c>
      <c r="L580" s="47" t="str">
        <f>IF($A580="", "", IFERROR(($E580 * Premissas!$B$4 * ($I580/$B580) + $E579 * Premissas!$B$5 * ($I579/$B579)) * Premissas!$B$7, 0))</f>
        <v/>
      </c>
      <c r="AI580" s="47" t="str">
        <f>IF($A580="", "", IFERROR(($I580 * Premissas!$B$5) + ($E580 * ($I580/$B580) * Premissas!$B$4 * 12), 0))</f>
        <v/>
      </c>
      <c r="AJ580" s="47" t="str">
        <f>IF($A580="", "", $AI580 * Premissas!$B$12)</f>
        <v/>
      </c>
      <c r="AK580" s="47" t="str">
        <f t="shared" si="13"/>
        <v/>
      </c>
      <c r="AL580" s="47"/>
      <c r="AM580" s="47"/>
    </row>
    <row r="581" ht="15.75" customHeight="1">
      <c r="K581" s="47" t="str">
        <f>IF($A581="", "", IFERROR($E581 * ($I581/$B581) * Premissas!$B$6, 0))</f>
        <v/>
      </c>
      <c r="L581" s="47" t="str">
        <f>IF($A581="", "", IFERROR(($E581 * Premissas!$B$4 * ($I581/$B581) + $E580 * Premissas!$B$5 * ($I580/$B580)) * Premissas!$B$7, 0))</f>
        <v/>
      </c>
      <c r="AI581" s="47" t="str">
        <f>IF($A581="", "", IFERROR(($I581 * Premissas!$B$5) + ($E581 * ($I581/$B581) * Premissas!$B$4 * 12), 0))</f>
        <v/>
      </c>
      <c r="AJ581" s="47" t="str">
        <f>IF($A581="", "", $AI581 * Premissas!$B$12)</f>
        <v/>
      </c>
      <c r="AK581" s="47" t="str">
        <f t="shared" si="13"/>
        <v/>
      </c>
      <c r="AL581" s="47"/>
      <c r="AM581" s="47"/>
    </row>
    <row r="582" ht="15.75" customHeight="1">
      <c r="K582" s="47" t="str">
        <f>IF($A582="", "", IFERROR($E582 * ($I582/$B582) * Premissas!$B$6, 0))</f>
        <v/>
      </c>
      <c r="L582" s="47" t="str">
        <f>IF($A582="", "", IFERROR(($E582 * Premissas!$B$4 * ($I582/$B582) + $E581 * Premissas!$B$5 * ($I581/$B581)) * Premissas!$B$7, 0))</f>
        <v/>
      </c>
      <c r="AI582" s="47" t="str">
        <f>IF($A582="", "", IFERROR(($I582 * Premissas!$B$5) + ($E582 * ($I582/$B582) * Premissas!$B$4 * 12), 0))</f>
        <v/>
      </c>
      <c r="AJ582" s="47" t="str">
        <f>IF($A582="", "", $AI582 * Premissas!$B$12)</f>
        <v/>
      </c>
      <c r="AK582" s="47" t="str">
        <f t="shared" si="13"/>
        <v/>
      </c>
      <c r="AL582" s="47"/>
      <c r="AM582" s="47"/>
    </row>
    <row r="583" ht="15.75" customHeight="1">
      <c r="K583" s="47" t="str">
        <f>IF($A583="", "", IFERROR($E583 * ($I583/$B583) * Premissas!$B$6, 0))</f>
        <v/>
      </c>
      <c r="L583" s="47" t="str">
        <f>IF($A583="", "", IFERROR(($E583 * Premissas!$B$4 * ($I583/$B583) + $E582 * Premissas!$B$5 * ($I582/$B582)) * Premissas!$B$7, 0))</f>
        <v/>
      </c>
      <c r="AI583" s="47" t="str">
        <f>IF($A583="", "", IFERROR(($I583 * Premissas!$B$5) + ($E583 * ($I583/$B583) * Premissas!$B$4 * 12), 0))</f>
        <v/>
      </c>
      <c r="AJ583" s="47" t="str">
        <f>IF($A583="", "", $AI583 * Premissas!$B$12)</f>
        <v/>
      </c>
      <c r="AK583" s="47" t="str">
        <f t="shared" si="13"/>
        <v/>
      </c>
      <c r="AL583" s="47"/>
      <c r="AM583" s="47"/>
    </row>
    <row r="584" ht="15.75" customHeight="1">
      <c r="K584" s="47" t="str">
        <f>IF($A584="", "", IFERROR($E584 * ($I584/$B584) * Premissas!$B$6, 0))</f>
        <v/>
      </c>
      <c r="L584" s="47" t="str">
        <f>IF($A584="", "", IFERROR(($E584 * Premissas!$B$4 * ($I584/$B584) + $E583 * Premissas!$B$5 * ($I583/$B583)) * Premissas!$B$7, 0))</f>
        <v/>
      </c>
      <c r="AI584" s="47" t="str">
        <f>IF($A584="", "", IFERROR(($I584 * Premissas!$B$5) + ($E584 * ($I584/$B584) * Premissas!$B$4 * 12), 0))</f>
        <v/>
      </c>
      <c r="AJ584" s="47" t="str">
        <f>IF($A584="", "", $AI584 * Premissas!$B$12)</f>
        <v/>
      </c>
      <c r="AK584" s="47" t="str">
        <f t="shared" si="13"/>
        <v/>
      </c>
      <c r="AL584" s="47"/>
      <c r="AM584" s="47"/>
    </row>
    <row r="585" ht="15.75" customHeight="1">
      <c r="K585" s="47" t="str">
        <f>IF($A585="", "", IFERROR($E585 * ($I585/$B585) * Premissas!$B$6, 0))</f>
        <v/>
      </c>
      <c r="L585" s="47" t="str">
        <f>IF($A585="", "", IFERROR(($E585 * Premissas!$B$4 * ($I585/$B585) + $E584 * Premissas!$B$5 * ($I584/$B584)) * Premissas!$B$7, 0))</f>
        <v/>
      </c>
      <c r="AI585" s="47" t="str">
        <f>IF($A585="", "", IFERROR(($I585 * Premissas!$B$5) + ($E585 * ($I585/$B585) * Premissas!$B$4 * 12), 0))</f>
        <v/>
      </c>
      <c r="AJ585" s="47" t="str">
        <f>IF($A585="", "", $AI585 * Premissas!$B$12)</f>
        <v/>
      </c>
      <c r="AK585" s="47" t="str">
        <f t="shared" si="13"/>
        <v/>
      </c>
      <c r="AL585" s="47"/>
      <c r="AM585" s="47"/>
    </row>
    <row r="586" ht="15.75" customHeight="1">
      <c r="K586" s="47" t="str">
        <f>IF($A586="", "", IFERROR($E586 * ($I586/$B586) * Premissas!$B$6, 0))</f>
        <v/>
      </c>
      <c r="L586" s="47" t="str">
        <f>IF($A586="", "", IFERROR(($E586 * Premissas!$B$4 * ($I586/$B586) + $E585 * Premissas!$B$5 * ($I585/$B585)) * Premissas!$B$7, 0))</f>
        <v/>
      </c>
      <c r="AI586" s="47" t="str">
        <f>IF($A586="", "", IFERROR(($I586 * Premissas!$B$5) + ($E586 * ($I586/$B586) * Premissas!$B$4 * 12), 0))</f>
        <v/>
      </c>
      <c r="AJ586" s="47" t="str">
        <f>IF($A586="", "", $AI586 * Premissas!$B$12)</f>
        <v/>
      </c>
      <c r="AK586" s="47" t="str">
        <f t="shared" si="13"/>
        <v/>
      </c>
      <c r="AL586" s="47"/>
      <c r="AM586" s="47"/>
    </row>
    <row r="587" ht="15.75" customHeight="1">
      <c r="K587" s="47" t="str">
        <f>IF($A587="", "", IFERROR($E587 * ($I587/$B587) * Premissas!$B$6, 0))</f>
        <v/>
      </c>
      <c r="L587" s="47" t="str">
        <f>IF($A587="", "", IFERROR(($E587 * Premissas!$B$4 * ($I587/$B587) + $E586 * Premissas!$B$5 * ($I586/$B586)) * Premissas!$B$7, 0))</f>
        <v/>
      </c>
      <c r="AI587" s="47" t="str">
        <f>IF($A587="", "", IFERROR(($I587 * Premissas!$B$5) + ($E587 * ($I587/$B587) * Premissas!$B$4 * 12), 0))</f>
        <v/>
      </c>
      <c r="AJ587" s="47" t="str">
        <f>IF($A587="", "", $AI587 * Premissas!$B$12)</f>
        <v/>
      </c>
      <c r="AK587" s="47" t="str">
        <f t="shared" si="13"/>
        <v/>
      </c>
      <c r="AL587" s="47"/>
      <c r="AM587" s="47"/>
    </row>
    <row r="588" ht="15.75" customHeight="1">
      <c r="K588" s="47" t="str">
        <f>IF($A588="", "", IFERROR($E588 * ($I588/$B588) * Premissas!$B$6, 0))</f>
        <v/>
      </c>
      <c r="L588" s="47" t="str">
        <f>IF($A588="", "", IFERROR(($E588 * Premissas!$B$4 * ($I588/$B588) + $E587 * Premissas!$B$5 * ($I587/$B587)) * Premissas!$B$7, 0))</f>
        <v/>
      </c>
      <c r="AI588" s="47" t="str">
        <f>IF($A588="", "", IFERROR(($I588 * Premissas!$B$5) + ($E588 * ($I588/$B588) * Premissas!$B$4 * 12), 0))</f>
        <v/>
      </c>
      <c r="AJ588" s="47" t="str">
        <f>IF($A588="", "", $AI588 * Premissas!$B$12)</f>
        <v/>
      </c>
      <c r="AK588" s="47" t="str">
        <f t="shared" si="13"/>
        <v/>
      </c>
      <c r="AL588" s="47"/>
      <c r="AM588" s="47"/>
    </row>
    <row r="589" ht="15.75" customHeight="1">
      <c r="K589" s="47" t="str">
        <f>IF($A589="", "", IFERROR($E589 * ($I589/$B589) * Premissas!$B$6, 0))</f>
        <v/>
      </c>
      <c r="L589" s="47" t="str">
        <f>IF($A589="", "", IFERROR(($E589 * Premissas!$B$4 * ($I589/$B589) + $E588 * Premissas!$B$5 * ($I588/$B588)) * Premissas!$B$7, 0))</f>
        <v/>
      </c>
      <c r="AI589" s="47" t="str">
        <f>IF($A589="", "", IFERROR(($I589 * Premissas!$B$5) + ($E589 * ($I589/$B589) * Premissas!$B$4 * 12), 0))</f>
        <v/>
      </c>
      <c r="AJ589" s="47" t="str">
        <f>IF($A589="", "", $AI589 * Premissas!$B$12)</f>
        <v/>
      </c>
      <c r="AK589" s="47" t="str">
        <f t="shared" si="13"/>
        <v/>
      </c>
      <c r="AL589" s="47"/>
      <c r="AM589" s="47"/>
    </row>
    <row r="590" ht="15.75" customHeight="1">
      <c r="K590" s="47" t="str">
        <f>IF($A590="", "", IFERROR($E590 * ($I590/$B590) * Premissas!$B$6, 0))</f>
        <v/>
      </c>
      <c r="L590" s="47" t="str">
        <f>IF($A590="", "", IFERROR(($E590 * Premissas!$B$4 * ($I590/$B590) + $E589 * Premissas!$B$5 * ($I589/$B589)) * Premissas!$B$7, 0))</f>
        <v/>
      </c>
      <c r="AI590" s="47" t="str">
        <f>IF($A590="", "", IFERROR(($I590 * Premissas!$B$5) + ($E590 * ($I590/$B590) * Premissas!$B$4 * 12), 0))</f>
        <v/>
      </c>
      <c r="AJ590" s="47" t="str">
        <f>IF($A590="", "", $AI590 * Premissas!$B$12)</f>
        <v/>
      </c>
      <c r="AK590" s="47" t="str">
        <f t="shared" si="13"/>
        <v/>
      </c>
      <c r="AL590" s="47"/>
      <c r="AM590" s="47"/>
    </row>
    <row r="591" ht="15.75" customHeight="1">
      <c r="K591" s="47" t="str">
        <f>IF($A591="", "", IFERROR($E591 * ($I591/$B591) * Premissas!$B$6, 0))</f>
        <v/>
      </c>
      <c r="L591" s="47" t="str">
        <f>IF($A591="", "", IFERROR(($E591 * Premissas!$B$4 * ($I591/$B591) + $E590 * Premissas!$B$5 * ($I590/$B590)) * Premissas!$B$7, 0))</f>
        <v/>
      </c>
      <c r="AI591" s="47" t="str">
        <f>IF($A591="", "", IFERROR(($I591 * Premissas!$B$5) + ($E591 * ($I591/$B591) * Premissas!$B$4 * 12), 0))</f>
        <v/>
      </c>
      <c r="AJ591" s="47" t="str">
        <f>IF($A591="", "", $AI591 * Premissas!$B$12)</f>
        <v/>
      </c>
      <c r="AK591" s="47" t="str">
        <f t="shared" si="13"/>
        <v/>
      </c>
      <c r="AL591" s="47"/>
      <c r="AM591" s="47"/>
    </row>
    <row r="592" ht="15.75" customHeight="1">
      <c r="K592" s="47" t="str">
        <f>IF($A592="", "", IFERROR($E592 * ($I592/$B592) * Premissas!$B$6, 0))</f>
        <v/>
      </c>
      <c r="L592" s="47" t="str">
        <f>IF($A592="", "", IFERROR(($E592 * Premissas!$B$4 * ($I592/$B592) + $E591 * Premissas!$B$5 * ($I591/$B591)) * Premissas!$B$7, 0))</f>
        <v/>
      </c>
      <c r="AI592" s="47" t="str">
        <f>IF($A592="", "", IFERROR(($I592 * Premissas!$B$5) + ($E592 * ($I592/$B592) * Premissas!$B$4 * 12), 0))</f>
        <v/>
      </c>
      <c r="AJ592" s="47" t="str">
        <f>IF($A592="", "", $AI592 * Premissas!$B$12)</f>
        <v/>
      </c>
      <c r="AK592" s="47" t="str">
        <f t="shared" si="13"/>
        <v/>
      </c>
      <c r="AL592" s="47"/>
      <c r="AM592" s="47"/>
    </row>
    <row r="593" ht="15.75" customHeight="1">
      <c r="K593" s="47" t="str">
        <f>IF($A593="", "", IFERROR($E593 * ($I593/$B593) * Premissas!$B$6, 0))</f>
        <v/>
      </c>
      <c r="L593" s="47" t="str">
        <f>IF($A593="", "", IFERROR(($E593 * Premissas!$B$4 * ($I593/$B593) + $E592 * Premissas!$B$5 * ($I592/$B592)) * Premissas!$B$7, 0))</f>
        <v/>
      </c>
      <c r="AI593" s="47" t="str">
        <f>IF($A593="", "", IFERROR(($I593 * Premissas!$B$5) + ($E593 * ($I593/$B593) * Premissas!$B$4 * 12), 0))</f>
        <v/>
      </c>
      <c r="AJ593" s="47" t="str">
        <f>IF($A593="", "", $AI593 * Premissas!$B$12)</f>
        <v/>
      </c>
      <c r="AK593" s="47" t="str">
        <f t="shared" si="13"/>
        <v/>
      </c>
      <c r="AL593" s="47"/>
      <c r="AM593" s="47"/>
    </row>
    <row r="594" ht="15.75" customHeight="1">
      <c r="K594" s="47" t="str">
        <f>IF($A594="", "", IFERROR($E594 * ($I594/$B594) * Premissas!$B$6, 0))</f>
        <v/>
      </c>
      <c r="L594" s="47" t="str">
        <f>IF($A594="", "", IFERROR(($E594 * Premissas!$B$4 * ($I594/$B594) + $E593 * Premissas!$B$5 * ($I593/$B593)) * Premissas!$B$7, 0))</f>
        <v/>
      </c>
      <c r="AI594" s="47" t="str">
        <f>IF($A594="", "", IFERROR(($I594 * Premissas!$B$5) + ($E594 * ($I594/$B594) * Premissas!$B$4 * 12), 0))</f>
        <v/>
      </c>
      <c r="AJ594" s="47" t="str">
        <f>IF($A594="", "", $AI594 * Premissas!$B$12)</f>
        <v/>
      </c>
      <c r="AK594" s="47" t="str">
        <f t="shared" si="13"/>
        <v/>
      </c>
      <c r="AL594" s="47"/>
      <c r="AM594" s="47"/>
    </row>
    <row r="595" ht="15.75" customHeight="1">
      <c r="K595" s="47" t="str">
        <f>IF($A595="", "", IFERROR($E595 * ($I595/$B595) * Premissas!$B$6, 0))</f>
        <v/>
      </c>
      <c r="L595" s="47" t="str">
        <f>IF($A595="", "", IFERROR(($E595 * Premissas!$B$4 * ($I595/$B595) + $E594 * Premissas!$B$5 * ($I594/$B594)) * Premissas!$B$7, 0))</f>
        <v/>
      </c>
      <c r="AI595" s="47" t="str">
        <f>IF($A595="", "", IFERROR(($I595 * Premissas!$B$5) + ($E595 * ($I595/$B595) * Premissas!$B$4 * 12), 0))</f>
        <v/>
      </c>
      <c r="AJ595" s="47" t="str">
        <f>IF($A595="", "", $AI595 * Premissas!$B$12)</f>
        <v/>
      </c>
      <c r="AK595" s="47" t="str">
        <f t="shared" si="13"/>
        <v/>
      </c>
      <c r="AL595" s="47"/>
      <c r="AM595" s="47"/>
    </row>
    <row r="596" ht="15.75" customHeight="1">
      <c r="K596" s="47" t="str">
        <f>IF($A596="", "", IFERROR($E596 * ($I596/$B596) * Premissas!$B$6, 0))</f>
        <v/>
      </c>
      <c r="L596" s="47" t="str">
        <f>IF($A596="", "", IFERROR(($E596 * Premissas!$B$4 * ($I596/$B596) + $E595 * Premissas!$B$5 * ($I595/$B595)) * Premissas!$B$7, 0))</f>
        <v/>
      </c>
      <c r="AI596" s="47" t="str">
        <f>IF($A596="", "", IFERROR(($I596 * Premissas!$B$5) + ($E596 * ($I596/$B596) * Premissas!$B$4 * 12), 0))</f>
        <v/>
      </c>
      <c r="AJ596" s="47" t="str">
        <f>IF($A596="", "", $AI596 * Premissas!$B$12)</f>
        <v/>
      </c>
      <c r="AK596" s="47" t="str">
        <f t="shared" si="13"/>
        <v/>
      </c>
      <c r="AL596" s="47"/>
      <c r="AM596" s="47"/>
    </row>
    <row r="597" ht="15.75" customHeight="1">
      <c r="K597" s="47" t="str">
        <f>IF($A597="", "", IFERROR($E597 * ($I597/$B597) * Premissas!$B$6, 0))</f>
        <v/>
      </c>
      <c r="L597" s="47" t="str">
        <f>IF($A597="", "", IFERROR(($E597 * Premissas!$B$4 * ($I597/$B597) + $E596 * Premissas!$B$5 * ($I596/$B596)) * Premissas!$B$7, 0))</f>
        <v/>
      </c>
      <c r="AI597" s="47" t="str">
        <f>IF($A597="", "", IFERROR(($I597 * Premissas!$B$5) + ($E597 * ($I597/$B597) * Premissas!$B$4 * 12), 0))</f>
        <v/>
      </c>
      <c r="AJ597" s="47" t="str">
        <f>IF($A597="", "", $AI597 * Premissas!$B$12)</f>
        <v/>
      </c>
      <c r="AK597" s="47" t="str">
        <f t="shared" si="13"/>
        <v/>
      </c>
      <c r="AL597" s="47"/>
      <c r="AM597" s="47"/>
    </row>
    <row r="598" ht="15.75" customHeight="1">
      <c r="K598" s="47" t="str">
        <f>IF($A598="", "", IFERROR($E598 * ($I598/$B598) * Premissas!$B$6, 0))</f>
        <v/>
      </c>
      <c r="L598" s="47" t="str">
        <f>IF($A598="", "", IFERROR(($E598 * Premissas!$B$4 * ($I598/$B598) + $E597 * Premissas!$B$5 * ($I597/$B597)) * Premissas!$B$7, 0))</f>
        <v/>
      </c>
      <c r="AI598" s="47" t="str">
        <f>IF($A598="", "", IFERROR(($I598 * Premissas!$B$5) + ($E598 * ($I598/$B598) * Premissas!$B$4 * 12), 0))</f>
        <v/>
      </c>
      <c r="AJ598" s="47" t="str">
        <f>IF($A598="", "", $AI598 * Premissas!$B$12)</f>
        <v/>
      </c>
      <c r="AK598" s="47" t="str">
        <f t="shared" si="13"/>
        <v/>
      </c>
      <c r="AL598" s="47"/>
      <c r="AM598" s="47"/>
    </row>
    <row r="599" ht="15.75" customHeight="1">
      <c r="K599" s="47" t="str">
        <f>IF($A599="", "", IFERROR($E599 * ($I599/$B599) * Premissas!$B$6, 0))</f>
        <v/>
      </c>
      <c r="L599" s="47" t="str">
        <f>IF($A599="", "", IFERROR(($E599 * Premissas!$B$4 * ($I599/$B599) + $E598 * Premissas!$B$5 * ($I598/$B598)) * Premissas!$B$7, 0))</f>
        <v/>
      </c>
      <c r="AI599" s="47" t="str">
        <f>IF($A599="", "", IFERROR(($I599 * Premissas!$B$5) + ($E599 * ($I599/$B599) * Premissas!$B$4 * 12), 0))</f>
        <v/>
      </c>
      <c r="AJ599" s="47" t="str">
        <f>IF($A599="", "", $AI599 * Premissas!$B$12)</f>
        <v/>
      </c>
      <c r="AK599" s="47" t="str">
        <f t="shared" si="13"/>
        <v/>
      </c>
      <c r="AL599" s="47"/>
      <c r="AM599" s="47"/>
    </row>
    <row r="600" ht="15.75" customHeight="1">
      <c r="K600" s="47" t="str">
        <f>IF($A600="", "", IFERROR($E600 * ($I600/$B600) * Premissas!$B$6, 0))</f>
        <v/>
      </c>
      <c r="L600" s="47" t="str">
        <f>IF($A600="", "", IFERROR(($E600 * Premissas!$B$4 * ($I600/$B600) + $E599 * Premissas!$B$5 * ($I599/$B599)) * Premissas!$B$7, 0))</f>
        <v/>
      </c>
      <c r="AI600" s="47" t="str">
        <f>IF($A600="", "", IFERROR(($I600 * Premissas!$B$5) + ($E600 * ($I600/$B600) * Premissas!$B$4 * 12), 0))</f>
        <v/>
      </c>
      <c r="AJ600" s="47" t="str">
        <f>IF($A600="", "", $AI600 * Premissas!$B$12)</f>
        <v/>
      </c>
      <c r="AK600" s="47" t="str">
        <f t="shared" si="13"/>
        <v/>
      </c>
      <c r="AL600" s="47"/>
      <c r="AM600" s="47"/>
    </row>
    <row r="601" ht="15.75" customHeight="1">
      <c r="K601" s="47" t="str">
        <f>IF($A601="", "", IFERROR($E601 * ($I601/$B601) * Premissas!$B$6, 0))</f>
        <v/>
      </c>
      <c r="L601" s="47" t="str">
        <f>IF($A601="", "", IFERROR(($E601 * Premissas!$B$4 * ($I601/$B601) + $E600 * Premissas!$B$5 * ($I600/$B600)) * Premissas!$B$7, 0))</f>
        <v/>
      </c>
      <c r="AI601" s="47" t="str">
        <f>IF($A601="", "", IFERROR(($I601 * Premissas!$B$5) + ($E601 * ($I601/$B601) * Premissas!$B$4 * 12), 0))</f>
        <v/>
      </c>
      <c r="AJ601" s="47" t="str">
        <f>IF($A601="", "", $AI601 * Premissas!$B$12)</f>
        <v/>
      </c>
      <c r="AK601" s="47" t="str">
        <f t="shared" si="13"/>
        <v/>
      </c>
      <c r="AL601" s="47"/>
      <c r="AM601" s="47"/>
    </row>
    <row r="602" ht="15.75" customHeight="1">
      <c r="K602" s="47" t="str">
        <f>IF($A602="", "", IFERROR($E602 * ($I602/$B602) * Premissas!$B$6, 0))</f>
        <v/>
      </c>
      <c r="L602" s="47" t="str">
        <f>IF($A602="", "", IFERROR(($E602 * Premissas!$B$4 * ($I602/$B602) + $E601 * Premissas!$B$5 * ($I601/$B601)) * Premissas!$B$7, 0))</f>
        <v/>
      </c>
      <c r="AI602" s="47" t="str">
        <f>IF($A602="", "", IFERROR(($I602 * Premissas!$B$5) + ($E602 * ($I602/$B602) * Premissas!$B$4 * 12), 0))</f>
        <v/>
      </c>
      <c r="AJ602" s="47" t="str">
        <f>IF($A602="", "", $AI602 * Premissas!$B$12)</f>
        <v/>
      </c>
      <c r="AK602" s="47" t="str">
        <f t="shared" si="13"/>
        <v/>
      </c>
      <c r="AL602" s="47"/>
      <c r="AM602" s="47"/>
    </row>
    <row r="603" ht="15.75" customHeight="1">
      <c r="K603" s="47" t="str">
        <f>IF($A603="", "", IFERROR($E603 * ($I603/$B603) * Premissas!$B$6, 0))</f>
        <v/>
      </c>
      <c r="L603" s="47" t="str">
        <f>IF($A603="", "", IFERROR(($E603 * Premissas!$B$4 * ($I603/$B603) + $E602 * Premissas!$B$5 * ($I602/$B602)) * Premissas!$B$7, 0))</f>
        <v/>
      </c>
      <c r="AI603" s="47" t="str">
        <f>IF($A603="", "", IFERROR(($I603 * Premissas!$B$5) + ($E603 * ($I603/$B603) * Premissas!$B$4 * 12), 0))</f>
        <v/>
      </c>
      <c r="AJ603" s="47" t="str">
        <f>IF($A603="", "", $AI603 * Premissas!$B$12)</f>
        <v/>
      </c>
      <c r="AK603" s="47" t="str">
        <f t="shared" si="13"/>
        <v/>
      </c>
      <c r="AL603" s="47"/>
      <c r="AM603" s="47"/>
    </row>
    <row r="604" ht="15.75" customHeight="1">
      <c r="K604" s="47" t="str">
        <f>IF($A604="", "", IFERROR($E604 * ($I604/$B604) * Premissas!$B$6, 0))</f>
        <v/>
      </c>
      <c r="L604" s="47" t="str">
        <f>IF($A604="", "", IFERROR(($E604 * Premissas!$B$4 * ($I604/$B604) + $E603 * Premissas!$B$5 * ($I603/$B603)) * Premissas!$B$7, 0))</f>
        <v/>
      </c>
      <c r="AI604" s="47" t="str">
        <f>IF($A604="", "", IFERROR(($I604 * Premissas!$B$5) + ($E604 * ($I604/$B604) * Premissas!$B$4 * 12), 0))</f>
        <v/>
      </c>
      <c r="AJ604" s="47" t="str">
        <f>IF($A604="", "", $AI604 * Premissas!$B$12)</f>
        <v/>
      </c>
      <c r="AK604" s="47" t="str">
        <f t="shared" si="13"/>
        <v/>
      </c>
      <c r="AL604" s="47"/>
      <c r="AM604" s="47"/>
    </row>
    <row r="605" ht="15.75" customHeight="1">
      <c r="K605" s="47" t="str">
        <f>IF($A605="", "", IFERROR($E605 * ($I605/$B605) * Premissas!$B$6, 0))</f>
        <v/>
      </c>
      <c r="L605" s="47" t="str">
        <f>IF($A605="", "", IFERROR(($E605 * Premissas!$B$4 * ($I605/$B605) + $E604 * Premissas!$B$5 * ($I604/$B604)) * Premissas!$B$7, 0))</f>
        <v/>
      </c>
      <c r="AI605" s="47" t="str">
        <f>IF($A605="", "", IFERROR(($I605 * Premissas!$B$5) + ($E605 * ($I605/$B605) * Premissas!$B$4 * 12), 0))</f>
        <v/>
      </c>
      <c r="AJ605" s="47" t="str">
        <f>IF($A605="", "", $AI605 * Premissas!$B$12)</f>
        <v/>
      </c>
      <c r="AK605" s="47" t="str">
        <f t="shared" si="13"/>
        <v/>
      </c>
      <c r="AL605" s="47"/>
      <c r="AM605" s="47"/>
    </row>
    <row r="606" ht="15.75" customHeight="1">
      <c r="K606" s="47" t="str">
        <f>IF($A606="", "", IFERROR($E606 * ($I606/$B606) * Premissas!$B$6, 0))</f>
        <v/>
      </c>
      <c r="L606" s="47" t="str">
        <f>IF($A606="", "", IFERROR(($E606 * Premissas!$B$4 * ($I606/$B606) + $E605 * Premissas!$B$5 * ($I605/$B605)) * Premissas!$B$7, 0))</f>
        <v/>
      </c>
      <c r="AI606" s="47" t="str">
        <f>IF($A606="", "", IFERROR(($I606 * Premissas!$B$5) + ($E606 * ($I606/$B606) * Premissas!$B$4 * 12), 0))</f>
        <v/>
      </c>
      <c r="AJ606" s="47" t="str">
        <f>IF($A606="", "", $AI606 * Premissas!$B$12)</f>
        <v/>
      </c>
      <c r="AK606" s="47" t="str">
        <f t="shared" si="13"/>
        <v/>
      </c>
      <c r="AL606" s="47"/>
      <c r="AM606" s="47"/>
    </row>
    <row r="607" ht="15.75" customHeight="1">
      <c r="K607" s="47" t="str">
        <f>IF($A607="", "", IFERROR($E607 * ($I607/$B607) * Premissas!$B$6, 0))</f>
        <v/>
      </c>
      <c r="L607" s="47" t="str">
        <f>IF($A607="", "", IFERROR(($E607 * Premissas!$B$4 * ($I607/$B607) + $E606 * Premissas!$B$5 * ($I606/$B606)) * Premissas!$B$7, 0))</f>
        <v/>
      </c>
      <c r="AI607" s="47" t="str">
        <f>IF($A607="", "", IFERROR(($I607 * Premissas!$B$5) + ($E607 * ($I607/$B607) * Premissas!$B$4 * 12), 0))</f>
        <v/>
      </c>
      <c r="AJ607" s="47" t="str">
        <f>IF($A607="", "", $AI607 * Premissas!$B$12)</f>
        <v/>
      </c>
      <c r="AK607" s="47" t="str">
        <f t="shared" si="13"/>
        <v/>
      </c>
      <c r="AL607" s="47"/>
      <c r="AM607" s="47"/>
    </row>
    <row r="608" ht="15.75" customHeight="1">
      <c r="K608" s="47" t="str">
        <f>IF($A608="", "", IFERROR($E608 * ($I608/$B608) * Premissas!$B$6, 0))</f>
        <v/>
      </c>
      <c r="L608" s="47" t="str">
        <f>IF($A608="", "", IFERROR(($E608 * Premissas!$B$4 * ($I608/$B608) + $E607 * Premissas!$B$5 * ($I607/$B607)) * Premissas!$B$7, 0))</f>
        <v/>
      </c>
      <c r="AI608" s="47" t="str">
        <f>IF($A608="", "", IFERROR(($I608 * Premissas!$B$5) + ($E608 * ($I608/$B608) * Premissas!$B$4 * 12), 0))</f>
        <v/>
      </c>
      <c r="AJ608" s="47" t="str">
        <f>IF($A608="", "", $AI608 * Premissas!$B$12)</f>
        <v/>
      </c>
      <c r="AK608" s="47" t="str">
        <f t="shared" si="13"/>
        <v/>
      </c>
      <c r="AL608" s="47"/>
      <c r="AM608" s="47"/>
    </row>
    <row r="609" ht="15.75" customHeight="1">
      <c r="K609" s="47" t="str">
        <f>IF($A609="", "", IFERROR($E609 * ($I609/$B609) * Premissas!$B$6, 0))</f>
        <v/>
      </c>
      <c r="L609" s="47" t="str">
        <f>IF($A609="", "", IFERROR(($E609 * Premissas!$B$4 * ($I609/$B609) + $E608 * Premissas!$B$5 * ($I608/$B608)) * Premissas!$B$7, 0))</f>
        <v/>
      </c>
      <c r="AI609" s="47" t="str">
        <f>IF($A609="", "", IFERROR(($I609 * Premissas!$B$5) + ($E609 * ($I609/$B609) * Premissas!$B$4 * 12), 0))</f>
        <v/>
      </c>
      <c r="AJ609" s="47" t="str">
        <f>IF($A609="", "", $AI609 * Premissas!$B$12)</f>
        <v/>
      </c>
      <c r="AK609" s="47" t="str">
        <f t="shared" si="13"/>
        <v/>
      </c>
      <c r="AL609" s="47"/>
      <c r="AM609" s="47"/>
    </row>
    <row r="610" ht="15.75" customHeight="1">
      <c r="K610" s="47" t="str">
        <f>IF($A610="", "", IFERROR($E610 * ($I610/$B610) * Premissas!$B$6, 0))</f>
        <v/>
      </c>
      <c r="L610" s="47" t="str">
        <f>IF($A610="", "", IFERROR(($E610 * Premissas!$B$4 * ($I610/$B610) + $E609 * Premissas!$B$5 * ($I609/$B609)) * Premissas!$B$7, 0))</f>
        <v/>
      </c>
      <c r="AI610" s="47" t="str">
        <f>IF($A610="", "", IFERROR(($I610 * Premissas!$B$5) + ($E610 * ($I610/$B610) * Premissas!$B$4 * 12), 0))</f>
        <v/>
      </c>
      <c r="AJ610" s="47" t="str">
        <f>IF($A610="", "", $AI610 * Premissas!$B$12)</f>
        <v/>
      </c>
      <c r="AK610" s="47" t="str">
        <f t="shared" si="13"/>
        <v/>
      </c>
      <c r="AL610" s="47"/>
      <c r="AM610" s="47"/>
    </row>
    <row r="611" ht="15.75" customHeight="1">
      <c r="K611" s="47" t="str">
        <f>IF($A611="", "", IFERROR($E611 * ($I611/$B611) * Premissas!$B$6, 0))</f>
        <v/>
      </c>
      <c r="L611" s="47" t="str">
        <f>IF($A611="", "", IFERROR(($E611 * Premissas!$B$4 * ($I611/$B611) + $E610 * Premissas!$B$5 * ($I610/$B610)) * Premissas!$B$7, 0))</f>
        <v/>
      </c>
      <c r="AI611" s="47" t="str">
        <f>IF($A611="", "", IFERROR(($I611 * Premissas!$B$5) + ($E611 * ($I611/$B611) * Premissas!$B$4 * 12), 0))</f>
        <v/>
      </c>
      <c r="AJ611" s="47" t="str">
        <f>IF($A611="", "", $AI611 * Premissas!$B$12)</f>
        <v/>
      </c>
      <c r="AK611" s="47" t="str">
        <f t="shared" si="13"/>
        <v/>
      </c>
      <c r="AL611" s="47"/>
      <c r="AM611" s="47"/>
    </row>
    <row r="612" ht="15.75" customHeight="1">
      <c r="K612" s="47" t="str">
        <f>IF($A612="", "", IFERROR($E612 * ($I612/$B612) * Premissas!$B$6, 0))</f>
        <v/>
      </c>
      <c r="L612" s="47" t="str">
        <f>IF($A612="", "", IFERROR(($E612 * Premissas!$B$4 * ($I612/$B612) + $E611 * Premissas!$B$5 * ($I611/$B611)) * Premissas!$B$7, 0))</f>
        <v/>
      </c>
      <c r="AI612" s="47" t="str">
        <f>IF($A612="", "", IFERROR(($I612 * Premissas!$B$5) + ($E612 * ($I612/$B612) * Premissas!$B$4 * 12), 0))</f>
        <v/>
      </c>
      <c r="AJ612" s="47" t="str">
        <f>IF($A612="", "", $AI612 * Premissas!$B$12)</f>
        <v/>
      </c>
      <c r="AK612" s="47" t="str">
        <f t="shared" si="13"/>
        <v/>
      </c>
      <c r="AL612" s="47"/>
      <c r="AM612" s="47"/>
    </row>
    <row r="613" ht="15.75" customHeight="1">
      <c r="K613" s="47" t="str">
        <f>IF($A613="", "", IFERROR($E613 * ($I613/$B613) * Premissas!$B$6, 0))</f>
        <v/>
      </c>
      <c r="L613" s="47" t="str">
        <f>IF($A613="", "", IFERROR(($E613 * Premissas!$B$4 * ($I613/$B613) + $E612 * Premissas!$B$5 * ($I612/$B612)) * Premissas!$B$7, 0))</f>
        <v/>
      </c>
      <c r="AI613" s="47" t="str">
        <f>IF($A613="", "", IFERROR(($I613 * Premissas!$B$5) + ($E613 * ($I613/$B613) * Premissas!$B$4 * 12), 0))</f>
        <v/>
      </c>
      <c r="AJ613" s="47" t="str">
        <f>IF($A613="", "", $AI613 * Premissas!$B$12)</f>
        <v/>
      </c>
      <c r="AK613" s="47" t="str">
        <f t="shared" si="13"/>
        <v/>
      </c>
      <c r="AL613" s="47"/>
      <c r="AM613" s="47"/>
    </row>
    <row r="614" ht="15.75" customHeight="1">
      <c r="K614" s="47" t="str">
        <f>IF($A614="", "", IFERROR($E614 * ($I614/$B614) * Premissas!$B$6, 0))</f>
        <v/>
      </c>
      <c r="L614" s="47" t="str">
        <f>IF($A614="", "", IFERROR(($E614 * Premissas!$B$4 * ($I614/$B614) + $E613 * Premissas!$B$5 * ($I613/$B613)) * Premissas!$B$7, 0))</f>
        <v/>
      </c>
      <c r="AI614" s="47" t="str">
        <f>IF($A614="", "", IFERROR(($I614 * Premissas!$B$5) + ($E614 * ($I614/$B614) * Premissas!$B$4 * 12), 0))</f>
        <v/>
      </c>
      <c r="AJ614" s="47" t="str">
        <f>IF($A614="", "", $AI614 * Premissas!$B$12)</f>
        <v/>
      </c>
      <c r="AK614" s="47" t="str">
        <f t="shared" si="13"/>
        <v/>
      </c>
      <c r="AL614" s="47"/>
      <c r="AM614" s="47"/>
    </row>
    <row r="615" ht="15.75" customHeight="1">
      <c r="K615" s="47" t="str">
        <f>IF($A615="", "", IFERROR($E615 * ($I615/$B615) * Premissas!$B$6, 0))</f>
        <v/>
      </c>
      <c r="L615" s="47" t="str">
        <f>IF($A615="", "", IFERROR(($E615 * Premissas!$B$4 * ($I615/$B615) + $E614 * Premissas!$B$5 * ($I614/$B614)) * Premissas!$B$7, 0))</f>
        <v/>
      </c>
      <c r="AI615" s="47" t="str">
        <f>IF($A615="", "", IFERROR(($I615 * Premissas!$B$5) + ($E615 * ($I615/$B615) * Premissas!$B$4 * 12), 0))</f>
        <v/>
      </c>
      <c r="AJ615" s="47" t="str">
        <f>IF($A615="", "", $AI615 * Premissas!$B$12)</f>
        <v/>
      </c>
      <c r="AK615" s="47" t="str">
        <f t="shared" si="13"/>
        <v/>
      </c>
      <c r="AL615" s="47"/>
      <c r="AM615" s="47"/>
    </row>
    <row r="616" ht="15.75" customHeight="1">
      <c r="K616" s="47" t="str">
        <f>IF($A616="", "", IFERROR($E616 * ($I616/$B616) * Premissas!$B$6, 0))</f>
        <v/>
      </c>
      <c r="L616" s="47" t="str">
        <f>IF($A616="", "", IFERROR(($E616 * Premissas!$B$4 * ($I616/$B616) + $E615 * Premissas!$B$5 * ($I615/$B615)) * Premissas!$B$7, 0))</f>
        <v/>
      </c>
      <c r="AI616" s="47" t="str">
        <f>IF($A616="", "", IFERROR(($I616 * Premissas!$B$5) + ($E616 * ($I616/$B616) * Premissas!$B$4 * 12), 0))</f>
        <v/>
      </c>
      <c r="AJ616" s="47" t="str">
        <f>IF($A616="", "", $AI616 * Premissas!$B$12)</f>
        <v/>
      </c>
      <c r="AK616" s="47" t="str">
        <f t="shared" si="13"/>
        <v/>
      </c>
      <c r="AL616" s="47"/>
      <c r="AM616" s="47"/>
    </row>
    <row r="617" ht="15.75" customHeight="1">
      <c r="K617" s="47" t="str">
        <f>IF($A617="", "", IFERROR($E617 * ($I617/$B617) * Premissas!$B$6, 0))</f>
        <v/>
      </c>
      <c r="L617" s="47" t="str">
        <f>IF($A617="", "", IFERROR(($E617 * Premissas!$B$4 * ($I617/$B617) + $E616 * Premissas!$B$5 * ($I616/$B616)) * Premissas!$B$7, 0))</f>
        <v/>
      </c>
      <c r="AI617" s="47" t="str">
        <f>IF($A617="", "", IFERROR(($I617 * Premissas!$B$5) + ($E617 * ($I617/$B617) * Premissas!$B$4 * 12), 0))</f>
        <v/>
      </c>
      <c r="AJ617" s="47" t="str">
        <f>IF($A617="", "", $AI617 * Premissas!$B$12)</f>
        <v/>
      </c>
      <c r="AK617" s="47" t="str">
        <f t="shared" si="13"/>
        <v/>
      </c>
      <c r="AL617" s="47"/>
      <c r="AM617" s="47"/>
    </row>
    <row r="618" ht="15.75" customHeight="1">
      <c r="K618" s="47" t="str">
        <f>IF($A618="", "", IFERROR($E618 * ($I618/$B618) * Premissas!$B$6, 0))</f>
        <v/>
      </c>
      <c r="L618" s="47" t="str">
        <f>IF($A618="", "", IFERROR(($E618 * Premissas!$B$4 * ($I618/$B618) + $E617 * Premissas!$B$5 * ($I617/$B617)) * Premissas!$B$7, 0))</f>
        <v/>
      </c>
      <c r="AI618" s="47" t="str">
        <f>IF($A618="", "", IFERROR(($I618 * Premissas!$B$5) + ($E618 * ($I618/$B618) * Premissas!$B$4 * 12), 0))</f>
        <v/>
      </c>
      <c r="AJ618" s="47" t="str">
        <f>IF($A618="", "", $AI618 * Premissas!$B$12)</f>
        <v/>
      </c>
      <c r="AK618" s="47" t="str">
        <f t="shared" si="13"/>
        <v/>
      </c>
      <c r="AL618" s="47"/>
      <c r="AM618" s="47"/>
    </row>
    <row r="619" ht="15.75" customHeight="1">
      <c r="K619" s="47" t="str">
        <f>IF($A619="", "", IFERROR($E619 * ($I619/$B619) * Premissas!$B$6, 0))</f>
        <v/>
      </c>
      <c r="L619" s="47" t="str">
        <f>IF($A619="", "", IFERROR(($E619 * Premissas!$B$4 * ($I619/$B619) + $E618 * Premissas!$B$5 * ($I618/$B618)) * Premissas!$B$7, 0))</f>
        <v/>
      </c>
      <c r="AI619" s="47" t="str">
        <f>IF($A619="", "", IFERROR(($I619 * Premissas!$B$5) + ($E619 * ($I619/$B619) * Premissas!$B$4 * 12), 0))</f>
        <v/>
      </c>
      <c r="AJ619" s="47" t="str">
        <f>IF($A619="", "", $AI619 * Premissas!$B$12)</f>
        <v/>
      </c>
      <c r="AK619" s="47" t="str">
        <f t="shared" si="13"/>
        <v/>
      </c>
      <c r="AL619" s="47"/>
      <c r="AM619" s="47"/>
    </row>
    <row r="620" ht="15.75" customHeight="1">
      <c r="K620" s="47" t="str">
        <f>IF($A620="", "", IFERROR($E620 * ($I620/$B620) * Premissas!$B$6, 0))</f>
        <v/>
      </c>
      <c r="L620" s="47" t="str">
        <f>IF($A620="", "", IFERROR(($E620 * Premissas!$B$4 * ($I620/$B620) + $E619 * Premissas!$B$5 * ($I619/$B619)) * Premissas!$B$7, 0))</f>
        <v/>
      </c>
      <c r="AI620" s="47" t="str">
        <f>IF($A620="", "", IFERROR(($I620 * Premissas!$B$5) + ($E620 * ($I620/$B620) * Premissas!$B$4 * 12), 0))</f>
        <v/>
      </c>
      <c r="AJ620" s="47" t="str">
        <f>IF($A620="", "", $AI620 * Premissas!$B$12)</f>
        <v/>
      </c>
      <c r="AK620" s="47" t="str">
        <f t="shared" si="13"/>
        <v/>
      </c>
      <c r="AL620" s="47"/>
      <c r="AM620" s="47"/>
    </row>
    <row r="621" ht="15.75" customHeight="1">
      <c r="K621" s="47" t="str">
        <f>IF($A621="", "", IFERROR($E621 * ($I621/$B621) * Premissas!$B$6, 0))</f>
        <v/>
      </c>
      <c r="L621" s="47" t="str">
        <f>IF($A621="", "", IFERROR(($E621 * Premissas!$B$4 * ($I621/$B621) + $E620 * Premissas!$B$5 * ($I620/$B620)) * Premissas!$B$7, 0))</f>
        <v/>
      </c>
      <c r="AI621" s="47" t="str">
        <f>IF($A621="", "", IFERROR(($I621 * Premissas!$B$5) + ($E621 * ($I621/$B621) * Premissas!$B$4 * 12), 0))</f>
        <v/>
      </c>
      <c r="AJ621" s="47" t="str">
        <f>IF($A621="", "", $AI621 * Premissas!$B$12)</f>
        <v/>
      </c>
      <c r="AK621" s="47" t="str">
        <f t="shared" si="13"/>
        <v/>
      </c>
      <c r="AL621" s="47"/>
      <c r="AM621" s="47"/>
    </row>
    <row r="622" ht="15.75" customHeight="1">
      <c r="K622" s="47" t="str">
        <f>IF($A622="", "", IFERROR($E622 * ($I622/$B622) * Premissas!$B$6, 0))</f>
        <v/>
      </c>
      <c r="L622" s="47" t="str">
        <f>IF($A622="", "", IFERROR(($E622 * Premissas!$B$4 * ($I622/$B622) + $E621 * Premissas!$B$5 * ($I621/$B621)) * Premissas!$B$7, 0))</f>
        <v/>
      </c>
      <c r="AI622" s="47" t="str">
        <f>IF($A622="", "", IFERROR(($I622 * Premissas!$B$5) + ($E622 * ($I622/$B622) * Premissas!$B$4 * 12), 0))</f>
        <v/>
      </c>
      <c r="AJ622" s="47" t="str">
        <f>IF($A622="", "", $AI622 * Premissas!$B$12)</f>
        <v/>
      </c>
      <c r="AK622" s="47" t="str">
        <f t="shared" si="13"/>
        <v/>
      </c>
      <c r="AL622" s="47"/>
      <c r="AM622" s="47"/>
    </row>
    <row r="623" ht="15.75" customHeight="1">
      <c r="K623" s="47" t="str">
        <f>IF($A623="", "", IFERROR($E623 * ($I623/$B623) * Premissas!$B$6, 0))</f>
        <v/>
      </c>
      <c r="L623" s="47" t="str">
        <f>IF($A623="", "", IFERROR(($E623 * Premissas!$B$4 * ($I623/$B623) + $E622 * Premissas!$B$5 * ($I622/$B622)) * Premissas!$B$7, 0))</f>
        <v/>
      </c>
      <c r="AI623" s="47" t="str">
        <f>IF($A623="", "", IFERROR(($I623 * Premissas!$B$5) + ($E623 * ($I623/$B623) * Premissas!$B$4 * 12), 0))</f>
        <v/>
      </c>
      <c r="AJ623" s="47" t="str">
        <f>IF($A623="", "", $AI623 * Premissas!$B$12)</f>
        <v/>
      </c>
      <c r="AK623" s="47" t="str">
        <f t="shared" si="13"/>
        <v/>
      </c>
      <c r="AL623" s="47"/>
      <c r="AM623" s="47"/>
    </row>
    <row r="624" ht="15.75" customHeight="1">
      <c r="K624" s="47" t="str">
        <f>IF($A624="", "", IFERROR($E624 * ($I624/$B624) * Premissas!$B$6, 0))</f>
        <v/>
      </c>
      <c r="L624" s="47" t="str">
        <f>IF($A624="", "", IFERROR(($E624 * Premissas!$B$4 * ($I624/$B624) + $E623 * Premissas!$B$5 * ($I623/$B623)) * Premissas!$B$7, 0))</f>
        <v/>
      </c>
      <c r="AI624" s="47" t="str">
        <f>IF($A624="", "", IFERROR(($I624 * Premissas!$B$5) + ($E624 * ($I624/$B624) * Premissas!$B$4 * 12), 0))</f>
        <v/>
      </c>
      <c r="AJ624" s="47" t="str">
        <f>IF($A624="", "", $AI624 * Premissas!$B$12)</f>
        <v/>
      </c>
      <c r="AK624" s="47" t="str">
        <f t="shared" si="13"/>
        <v/>
      </c>
      <c r="AL624" s="47"/>
      <c r="AM624" s="47"/>
    </row>
    <row r="625" ht="15.75" customHeight="1">
      <c r="K625" s="47" t="str">
        <f>IF($A625="", "", IFERROR($E625 * ($I625/$B625) * Premissas!$B$6, 0))</f>
        <v/>
      </c>
      <c r="L625" s="47" t="str">
        <f>IF($A625="", "", IFERROR(($E625 * Premissas!$B$4 * ($I625/$B625) + $E624 * Premissas!$B$5 * ($I624/$B624)) * Premissas!$B$7, 0))</f>
        <v/>
      </c>
      <c r="AI625" s="47" t="str">
        <f>IF($A625="", "", IFERROR(($I625 * Premissas!$B$5) + ($E625 * ($I625/$B625) * Premissas!$B$4 * 12), 0))</f>
        <v/>
      </c>
      <c r="AJ625" s="47" t="str">
        <f>IF($A625="", "", $AI625 * Premissas!$B$12)</f>
        <v/>
      </c>
      <c r="AK625" s="47" t="str">
        <f t="shared" si="13"/>
        <v/>
      </c>
      <c r="AL625" s="47"/>
      <c r="AM625" s="47"/>
    </row>
    <row r="626" ht="15.75" customHeight="1">
      <c r="K626" s="47" t="str">
        <f>IF($A626="", "", IFERROR($E626 * ($I626/$B626) * Premissas!$B$6, 0))</f>
        <v/>
      </c>
      <c r="L626" s="47" t="str">
        <f>IF($A626="", "", IFERROR(($E626 * Premissas!$B$4 * ($I626/$B626) + $E625 * Premissas!$B$5 * ($I625/$B625)) * Premissas!$B$7, 0))</f>
        <v/>
      </c>
      <c r="AI626" s="47" t="str">
        <f>IF($A626="", "", IFERROR(($I626 * Premissas!$B$5) + ($E626 * ($I626/$B626) * Premissas!$B$4 * 12), 0))</f>
        <v/>
      </c>
      <c r="AJ626" s="47" t="str">
        <f>IF($A626="", "", $AI626 * Premissas!$B$12)</f>
        <v/>
      </c>
      <c r="AK626" s="47" t="str">
        <f t="shared" si="13"/>
        <v/>
      </c>
      <c r="AL626" s="47"/>
      <c r="AM626" s="47"/>
    </row>
    <row r="627" ht="15.75" customHeight="1">
      <c r="K627" s="47" t="str">
        <f>IF($A627="", "", IFERROR($E627 * ($I627/$B627) * Premissas!$B$6, 0))</f>
        <v/>
      </c>
      <c r="L627" s="47" t="str">
        <f>IF($A627="", "", IFERROR(($E627 * Premissas!$B$4 * ($I627/$B627) + $E626 * Premissas!$B$5 * ($I626/$B626)) * Premissas!$B$7, 0))</f>
        <v/>
      </c>
      <c r="AI627" s="47" t="str">
        <f>IF($A627="", "", IFERROR(($I627 * Premissas!$B$5) + ($E627 * ($I627/$B627) * Premissas!$B$4 * 12), 0))</f>
        <v/>
      </c>
      <c r="AJ627" s="47" t="str">
        <f>IF($A627="", "", $AI627 * Premissas!$B$12)</f>
        <v/>
      </c>
      <c r="AK627" s="47" t="str">
        <f t="shared" si="13"/>
        <v/>
      </c>
      <c r="AL627" s="47"/>
      <c r="AM627" s="47"/>
    </row>
    <row r="628" ht="15.75" customHeight="1">
      <c r="K628" s="47" t="str">
        <f>IF($A628="", "", IFERROR($E628 * ($I628/$B628) * Premissas!$B$6, 0))</f>
        <v/>
      </c>
      <c r="L628" s="47" t="str">
        <f>IF($A628="", "", IFERROR(($E628 * Premissas!$B$4 * ($I628/$B628) + $E627 * Premissas!$B$5 * ($I627/$B627)) * Premissas!$B$7, 0))</f>
        <v/>
      </c>
      <c r="AI628" s="47" t="str">
        <f>IF($A628="", "", IFERROR(($I628 * Premissas!$B$5) + ($E628 * ($I628/$B628) * Premissas!$B$4 * 12), 0))</f>
        <v/>
      </c>
      <c r="AJ628" s="47" t="str">
        <f>IF($A628="", "", $AI628 * Premissas!$B$12)</f>
        <v/>
      </c>
      <c r="AK628" s="47" t="str">
        <f t="shared" si="13"/>
        <v/>
      </c>
      <c r="AL628" s="47"/>
      <c r="AM628" s="47"/>
    </row>
    <row r="629" ht="15.75" customHeight="1">
      <c r="K629" s="47" t="str">
        <f>IF($A629="", "", IFERROR($E629 * ($I629/$B629) * Premissas!$B$6, 0))</f>
        <v/>
      </c>
      <c r="L629" s="47" t="str">
        <f>IF($A629="", "", IFERROR(($E629 * Premissas!$B$4 * ($I629/$B629) + $E628 * Premissas!$B$5 * ($I628/$B628)) * Premissas!$B$7, 0))</f>
        <v/>
      </c>
      <c r="AI629" s="47" t="str">
        <f>IF($A629="", "", IFERROR(($I629 * Premissas!$B$5) + ($E629 * ($I629/$B629) * Premissas!$B$4 * 12), 0))</f>
        <v/>
      </c>
      <c r="AJ629" s="47" t="str">
        <f>IF($A629="", "", $AI629 * Premissas!$B$12)</f>
        <v/>
      </c>
      <c r="AK629" s="47" t="str">
        <f t="shared" si="13"/>
        <v/>
      </c>
      <c r="AL629" s="47"/>
      <c r="AM629" s="47"/>
    </row>
    <row r="630" ht="15.75" customHeight="1">
      <c r="K630" s="47" t="str">
        <f>IF($A630="", "", IFERROR($E630 * ($I630/$B630) * Premissas!$B$6, 0))</f>
        <v/>
      </c>
      <c r="L630" s="47" t="str">
        <f>IF($A630="", "", IFERROR(($E630 * Premissas!$B$4 * ($I630/$B630) + $E629 * Premissas!$B$5 * ($I629/$B629)) * Premissas!$B$7, 0))</f>
        <v/>
      </c>
      <c r="AI630" s="47" t="str">
        <f>IF($A630="", "", IFERROR(($I630 * Premissas!$B$5) + ($E630 * ($I630/$B630) * Premissas!$B$4 * 12), 0))</f>
        <v/>
      </c>
      <c r="AJ630" s="47" t="str">
        <f>IF($A630="", "", $AI630 * Premissas!$B$12)</f>
        <v/>
      </c>
      <c r="AK630" s="47" t="str">
        <f t="shared" si="13"/>
        <v/>
      </c>
      <c r="AL630" s="47"/>
      <c r="AM630" s="47"/>
    </row>
    <row r="631" ht="15.75" customHeight="1">
      <c r="K631" s="47" t="str">
        <f>IF($A631="", "", IFERROR($E631 * ($I631/$B631) * Premissas!$B$6, 0))</f>
        <v/>
      </c>
      <c r="L631" s="47" t="str">
        <f>IF($A631="", "", IFERROR(($E631 * Premissas!$B$4 * ($I631/$B631) + $E630 * Premissas!$B$5 * ($I630/$B630)) * Premissas!$B$7, 0))</f>
        <v/>
      </c>
      <c r="AI631" s="47" t="str">
        <f>IF($A631="", "", IFERROR(($I631 * Premissas!$B$5) + ($E631 * ($I631/$B631) * Premissas!$B$4 * 12), 0))</f>
        <v/>
      </c>
      <c r="AJ631" s="47" t="str">
        <f>IF($A631="", "", $AI631 * Premissas!$B$12)</f>
        <v/>
      </c>
      <c r="AK631" s="47" t="str">
        <f t="shared" si="13"/>
        <v/>
      </c>
      <c r="AL631" s="47"/>
      <c r="AM631" s="47"/>
    </row>
    <row r="632" ht="15.75" customHeight="1">
      <c r="K632" s="47" t="str">
        <f>IF($A632="", "", IFERROR($E632 * ($I632/$B632) * Premissas!$B$6, 0))</f>
        <v/>
      </c>
      <c r="L632" s="47" t="str">
        <f>IF($A632="", "", IFERROR(($E632 * Premissas!$B$4 * ($I632/$B632) + $E631 * Premissas!$B$5 * ($I631/$B631)) * Premissas!$B$7, 0))</f>
        <v/>
      </c>
      <c r="AI632" s="47" t="str">
        <f>IF($A632="", "", IFERROR(($I632 * Premissas!$B$5) + ($E632 * ($I632/$B632) * Premissas!$B$4 * 12), 0))</f>
        <v/>
      </c>
      <c r="AJ632" s="47" t="str">
        <f>IF($A632="", "", $AI632 * Premissas!$B$12)</f>
        <v/>
      </c>
      <c r="AK632" s="47" t="str">
        <f t="shared" si="13"/>
        <v/>
      </c>
      <c r="AL632" s="47"/>
      <c r="AM632" s="47"/>
    </row>
    <row r="633" ht="15.75" customHeight="1">
      <c r="K633" s="47" t="str">
        <f>IF($A633="", "", IFERROR($E633 * ($I633/$B633) * Premissas!$B$6, 0))</f>
        <v/>
      </c>
      <c r="L633" s="47" t="str">
        <f>IF($A633="", "", IFERROR(($E633 * Premissas!$B$4 * ($I633/$B633) + $E632 * Premissas!$B$5 * ($I632/$B632)) * Premissas!$B$7, 0))</f>
        <v/>
      </c>
      <c r="AI633" s="47" t="str">
        <f>IF($A633="", "", IFERROR(($I633 * Premissas!$B$5) + ($E633 * ($I633/$B633) * Premissas!$B$4 * 12), 0))</f>
        <v/>
      </c>
      <c r="AJ633" s="47" t="str">
        <f>IF($A633="", "", $AI633 * Premissas!$B$12)</f>
        <v/>
      </c>
      <c r="AK633" s="47" t="str">
        <f t="shared" si="13"/>
        <v/>
      </c>
      <c r="AL633" s="47"/>
      <c r="AM633" s="47"/>
    </row>
    <row r="634" ht="15.75" customHeight="1">
      <c r="K634" s="47" t="str">
        <f>IF($A634="", "", IFERROR($E634 * ($I634/$B634) * Premissas!$B$6, 0))</f>
        <v/>
      </c>
      <c r="L634" s="47" t="str">
        <f>IF($A634="", "", IFERROR(($E634 * Premissas!$B$4 * ($I634/$B634) + $E633 * Premissas!$B$5 * ($I633/$B633)) * Premissas!$B$7, 0))</f>
        <v/>
      </c>
      <c r="AI634" s="47" t="str">
        <f>IF($A634="", "", IFERROR(($I634 * Premissas!$B$5) + ($E634 * ($I634/$B634) * Premissas!$B$4 * 12), 0))</f>
        <v/>
      </c>
      <c r="AJ634" s="47" t="str">
        <f>IF($A634="", "", $AI634 * Premissas!$B$12)</f>
        <v/>
      </c>
      <c r="AK634" s="47" t="str">
        <f t="shared" si="13"/>
        <v/>
      </c>
      <c r="AL634" s="47"/>
      <c r="AM634" s="47"/>
    </row>
    <row r="635" ht="15.75" customHeight="1">
      <c r="K635" s="47" t="str">
        <f>IF($A635="", "", IFERROR($E635 * ($I635/$B635) * Premissas!$B$6, 0))</f>
        <v/>
      </c>
      <c r="L635" s="47" t="str">
        <f>IF($A635="", "", IFERROR(($E635 * Premissas!$B$4 * ($I635/$B635) + $E634 * Premissas!$B$5 * ($I634/$B634)) * Premissas!$B$7, 0))</f>
        <v/>
      </c>
      <c r="AI635" s="47" t="str">
        <f>IF($A635="", "", IFERROR(($I635 * Premissas!$B$5) + ($E635 * ($I635/$B635) * Premissas!$B$4 * 12), 0))</f>
        <v/>
      </c>
      <c r="AJ635" s="47" t="str">
        <f>IF($A635="", "", $AI635 * Premissas!$B$12)</f>
        <v/>
      </c>
      <c r="AK635" s="47" t="str">
        <f t="shared" si="13"/>
        <v/>
      </c>
      <c r="AL635" s="47"/>
      <c r="AM635" s="47"/>
    </row>
    <row r="636" ht="15.75" customHeight="1">
      <c r="K636" s="47" t="str">
        <f>IF($A636="", "", IFERROR($E636 * ($I636/$B636) * Premissas!$B$6, 0))</f>
        <v/>
      </c>
      <c r="L636" s="47" t="str">
        <f>IF($A636="", "", IFERROR(($E636 * Premissas!$B$4 * ($I636/$B636) + $E635 * Premissas!$B$5 * ($I635/$B635)) * Premissas!$B$7, 0))</f>
        <v/>
      </c>
      <c r="AI636" s="47" t="str">
        <f>IF($A636="", "", IFERROR(($I636 * Premissas!$B$5) + ($E636 * ($I636/$B636) * Premissas!$B$4 * 12), 0))</f>
        <v/>
      </c>
      <c r="AJ636" s="47" t="str">
        <f>IF($A636="", "", $AI636 * Premissas!$B$12)</f>
        <v/>
      </c>
      <c r="AK636" s="47" t="str">
        <f t="shared" si="13"/>
        <v/>
      </c>
      <c r="AL636" s="47"/>
      <c r="AM636" s="47"/>
    </row>
    <row r="637" ht="15.75" customHeight="1">
      <c r="K637" s="47" t="str">
        <f>IF($A637="", "", IFERROR($E637 * ($I637/$B637) * Premissas!$B$6, 0))</f>
        <v/>
      </c>
      <c r="L637" s="47" t="str">
        <f>IF($A637="", "", IFERROR(($E637 * Premissas!$B$4 * ($I637/$B637) + $E636 * Premissas!$B$5 * ($I636/$B636)) * Premissas!$B$7, 0))</f>
        <v/>
      </c>
      <c r="AI637" s="47" t="str">
        <f>IF($A637="", "", IFERROR(($I637 * Premissas!$B$5) + ($E637 * ($I637/$B637) * Premissas!$B$4 * 12), 0))</f>
        <v/>
      </c>
      <c r="AJ637" s="47" t="str">
        <f>IF($A637="", "", $AI637 * Premissas!$B$12)</f>
        <v/>
      </c>
      <c r="AK637" s="47" t="str">
        <f t="shared" si="13"/>
        <v/>
      </c>
      <c r="AL637" s="47"/>
      <c r="AM637" s="47"/>
    </row>
    <row r="638" ht="15.75" customHeight="1">
      <c r="K638" s="47" t="str">
        <f>IF($A638="", "", IFERROR($E638 * ($I638/$B638) * Premissas!$B$6, 0))</f>
        <v/>
      </c>
      <c r="L638" s="47" t="str">
        <f>IF($A638="", "", IFERROR(($E638 * Premissas!$B$4 * ($I638/$B638) + $E637 * Premissas!$B$5 * ($I637/$B637)) * Premissas!$B$7, 0))</f>
        <v/>
      </c>
      <c r="AI638" s="47" t="str">
        <f>IF($A638="", "", IFERROR(($I638 * Premissas!$B$5) + ($E638 * ($I638/$B638) * Premissas!$B$4 * 12), 0))</f>
        <v/>
      </c>
      <c r="AJ638" s="47" t="str">
        <f>IF($A638="", "", $AI638 * Premissas!$B$12)</f>
        <v/>
      </c>
      <c r="AK638" s="47" t="str">
        <f t="shared" si="13"/>
        <v/>
      </c>
      <c r="AL638" s="47"/>
      <c r="AM638" s="47"/>
    </row>
    <row r="639" ht="15.75" customHeight="1">
      <c r="K639" s="47" t="str">
        <f>IF($A639="", "", IFERROR($E639 * ($I639/$B639) * Premissas!$B$6, 0))</f>
        <v/>
      </c>
      <c r="L639" s="47" t="str">
        <f>IF($A639="", "", IFERROR(($E639 * Premissas!$B$4 * ($I639/$B639) + $E638 * Premissas!$B$5 * ($I638/$B638)) * Premissas!$B$7, 0))</f>
        <v/>
      </c>
      <c r="AI639" s="47" t="str">
        <f>IF($A639="", "", IFERROR(($I639 * Premissas!$B$5) + ($E639 * ($I639/$B639) * Premissas!$B$4 * 12), 0))</f>
        <v/>
      </c>
      <c r="AJ639" s="47" t="str">
        <f>IF($A639="", "", $AI639 * Premissas!$B$12)</f>
        <v/>
      </c>
      <c r="AK639" s="47" t="str">
        <f t="shared" si="13"/>
        <v/>
      </c>
      <c r="AL639" s="47"/>
      <c r="AM639" s="47"/>
    </row>
    <row r="640" ht="15.75" customHeight="1">
      <c r="K640" s="47" t="str">
        <f>IF($A640="", "", IFERROR($E640 * ($I640/$B640) * Premissas!$B$6, 0))</f>
        <v/>
      </c>
      <c r="L640" s="47" t="str">
        <f>IF($A640="", "", IFERROR(($E640 * Premissas!$B$4 * ($I640/$B640) + $E639 * Premissas!$B$5 * ($I639/$B639)) * Premissas!$B$7, 0))</f>
        <v/>
      </c>
      <c r="AI640" s="47" t="str">
        <f>IF($A640="", "", IFERROR(($I640 * Premissas!$B$5) + ($E640 * ($I640/$B640) * Premissas!$B$4 * 12), 0))</f>
        <v/>
      </c>
      <c r="AJ640" s="47" t="str">
        <f>IF($A640="", "", $AI640 * Premissas!$B$12)</f>
        <v/>
      </c>
      <c r="AK640" s="47" t="str">
        <f t="shared" si="13"/>
        <v/>
      </c>
      <c r="AL640" s="47"/>
      <c r="AM640" s="47"/>
    </row>
    <row r="641" ht="15.75" customHeight="1">
      <c r="K641" s="47" t="str">
        <f>IF($A641="", "", IFERROR($E641 * ($I641/$B641) * Premissas!$B$6, 0))</f>
        <v/>
      </c>
      <c r="L641" s="47" t="str">
        <f>IF($A641="", "", IFERROR(($E641 * Premissas!$B$4 * ($I641/$B641) + $E640 * Premissas!$B$5 * ($I640/$B640)) * Premissas!$B$7, 0))</f>
        <v/>
      </c>
      <c r="AI641" s="47" t="str">
        <f>IF($A641="", "", IFERROR(($I641 * Premissas!$B$5) + ($E641 * ($I641/$B641) * Premissas!$B$4 * 12), 0))</f>
        <v/>
      </c>
      <c r="AJ641" s="47" t="str">
        <f>IF($A641="", "", $AI641 * Premissas!$B$12)</f>
        <v/>
      </c>
      <c r="AK641" s="47" t="str">
        <f t="shared" si="13"/>
        <v/>
      </c>
      <c r="AL641" s="47"/>
      <c r="AM641" s="47"/>
    </row>
    <row r="642" ht="15.75" customHeight="1">
      <c r="K642" s="47" t="str">
        <f>IF($A642="", "", IFERROR($E642 * ($I642/$B642) * Premissas!$B$6, 0))</f>
        <v/>
      </c>
      <c r="L642" s="47" t="str">
        <f>IF($A642="", "", IFERROR(($E642 * Premissas!$B$4 * ($I642/$B642) + $E641 * Premissas!$B$5 * ($I641/$B641)) * Premissas!$B$7, 0))</f>
        <v/>
      </c>
      <c r="AI642" s="47" t="str">
        <f>IF($A642="", "", IFERROR(($I642 * Premissas!$B$5) + ($E642 * ($I642/$B642) * Premissas!$B$4 * 12), 0))</f>
        <v/>
      </c>
      <c r="AJ642" s="47" t="str">
        <f>IF($A642="", "", $AI642 * Premissas!$B$12)</f>
        <v/>
      </c>
      <c r="AK642" s="47" t="str">
        <f t="shared" si="13"/>
        <v/>
      </c>
      <c r="AL642" s="47"/>
      <c r="AM642" s="47"/>
    </row>
    <row r="643" ht="15.75" customHeight="1">
      <c r="K643" s="47" t="str">
        <f>IF($A643="", "", IFERROR($E643 * ($I643/$B643) * Premissas!$B$6, 0))</f>
        <v/>
      </c>
      <c r="L643" s="47" t="str">
        <f>IF($A643="", "", IFERROR(($E643 * Premissas!$B$4 * ($I643/$B643) + $E642 * Premissas!$B$5 * ($I642/$B642)) * Premissas!$B$7, 0))</f>
        <v/>
      </c>
      <c r="AI643" s="47" t="str">
        <f>IF($A643="", "", IFERROR(($I643 * Premissas!$B$5) + ($E643 * ($I643/$B643) * Premissas!$B$4 * 12), 0))</f>
        <v/>
      </c>
      <c r="AJ643" s="47" t="str">
        <f>IF($A643="", "", $AI643 * Premissas!$B$12)</f>
        <v/>
      </c>
      <c r="AK643" s="47" t="str">
        <f t="shared" si="13"/>
        <v/>
      </c>
      <c r="AL643" s="47"/>
      <c r="AM643" s="47"/>
    </row>
    <row r="644" ht="15.75" customHeight="1">
      <c r="K644" s="47" t="str">
        <f>IF($A644="", "", IFERROR($E644 * ($I644/$B644) * Premissas!$B$6, 0))</f>
        <v/>
      </c>
      <c r="L644" s="47" t="str">
        <f>IF($A644="", "", IFERROR(($E644 * Premissas!$B$4 * ($I644/$B644) + $E643 * Premissas!$B$5 * ($I643/$B643)) * Premissas!$B$7, 0))</f>
        <v/>
      </c>
      <c r="AI644" s="47" t="str">
        <f>IF($A644="", "", IFERROR(($I644 * Premissas!$B$5) + ($E644 * ($I644/$B644) * Premissas!$B$4 * 12), 0))</f>
        <v/>
      </c>
      <c r="AJ644" s="47" t="str">
        <f>IF($A644="", "", $AI644 * Premissas!$B$12)</f>
        <v/>
      </c>
      <c r="AK644" s="47" t="str">
        <f t="shared" si="13"/>
        <v/>
      </c>
      <c r="AL644" s="47"/>
      <c r="AM644" s="47"/>
    </row>
    <row r="645" ht="15.75" customHeight="1">
      <c r="K645" s="47" t="str">
        <f>IF($A645="", "", IFERROR($E645 * ($I645/$B645) * Premissas!$B$6, 0))</f>
        <v/>
      </c>
      <c r="L645" s="47" t="str">
        <f>IF($A645="", "", IFERROR(($E645 * Premissas!$B$4 * ($I645/$B645) + $E644 * Premissas!$B$5 * ($I644/$B644)) * Premissas!$B$7, 0))</f>
        <v/>
      </c>
      <c r="AI645" s="47" t="str">
        <f>IF($A645="", "", IFERROR(($I645 * Premissas!$B$5) + ($E645 * ($I645/$B645) * Premissas!$B$4 * 12), 0))</f>
        <v/>
      </c>
      <c r="AJ645" s="47" t="str">
        <f>IF($A645="", "", $AI645 * Premissas!$B$12)</f>
        <v/>
      </c>
      <c r="AK645" s="47" t="str">
        <f t="shared" si="13"/>
        <v/>
      </c>
      <c r="AL645" s="47"/>
      <c r="AM645" s="47"/>
    </row>
    <row r="646" ht="15.75" customHeight="1">
      <c r="K646" s="47" t="str">
        <f>IF($A646="", "", IFERROR($E646 * ($I646/$B646) * Premissas!$B$6, 0))</f>
        <v/>
      </c>
      <c r="L646" s="47" t="str">
        <f>IF($A646="", "", IFERROR(($E646 * Premissas!$B$4 * ($I646/$B646) + $E645 * Premissas!$B$5 * ($I645/$B645)) * Premissas!$B$7, 0))</f>
        <v/>
      </c>
      <c r="AI646" s="47" t="str">
        <f>IF($A646="", "", IFERROR(($I646 * Premissas!$B$5) + ($E646 * ($I646/$B646) * Premissas!$B$4 * 12), 0))</f>
        <v/>
      </c>
      <c r="AJ646" s="47" t="str">
        <f>IF($A646="", "", $AI646 * Premissas!$B$12)</f>
        <v/>
      </c>
      <c r="AK646" s="47" t="str">
        <f t="shared" si="13"/>
        <v/>
      </c>
      <c r="AL646" s="47"/>
      <c r="AM646" s="47"/>
    </row>
    <row r="647" ht="15.75" customHeight="1">
      <c r="K647" s="47" t="str">
        <f>IF($A647="", "", IFERROR($E647 * ($I647/$B647) * Premissas!$B$6, 0))</f>
        <v/>
      </c>
      <c r="L647" s="47" t="str">
        <f>IF($A647="", "", IFERROR(($E647 * Premissas!$B$4 * ($I647/$B647) + $E646 * Premissas!$B$5 * ($I646/$B646)) * Premissas!$B$7, 0))</f>
        <v/>
      </c>
      <c r="AI647" s="47" t="str">
        <f>IF($A647="", "", IFERROR(($I647 * Premissas!$B$5) + ($E647 * ($I647/$B647) * Premissas!$B$4 * 12), 0))</f>
        <v/>
      </c>
      <c r="AJ647" s="47" t="str">
        <f>IF($A647="", "", $AI647 * Premissas!$B$12)</f>
        <v/>
      </c>
      <c r="AK647" s="47" t="str">
        <f t="shared" si="13"/>
        <v/>
      </c>
      <c r="AL647" s="47"/>
      <c r="AM647" s="47"/>
    </row>
    <row r="648" ht="15.75" customHeight="1">
      <c r="K648" s="47" t="str">
        <f>IF($A648="", "", IFERROR($E648 * ($I648/$B648) * Premissas!$B$6, 0))</f>
        <v/>
      </c>
      <c r="L648" s="47" t="str">
        <f>IF($A648="", "", IFERROR(($E648 * Premissas!$B$4 * ($I648/$B648) + $E647 * Premissas!$B$5 * ($I647/$B647)) * Premissas!$B$7, 0))</f>
        <v/>
      </c>
      <c r="AI648" s="47" t="str">
        <f>IF($A648="", "", IFERROR(($I648 * Premissas!$B$5) + ($E648 * ($I648/$B648) * Premissas!$B$4 * 12), 0))</f>
        <v/>
      </c>
      <c r="AJ648" s="47" t="str">
        <f>IF($A648="", "", $AI648 * Premissas!$B$12)</f>
        <v/>
      </c>
      <c r="AK648" s="47" t="str">
        <f t="shared" si="13"/>
        <v/>
      </c>
      <c r="AL648" s="47"/>
      <c r="AM648" s="47"/>
    </row>
    <row r="649" ht="15.75" customHeight="1">
      <c r="K649" s="47" t="str">
        <f>IF($A649="", "", IFERROR($E649 * ($I649/$B649) * Premissas!$B$6, 0))</f>
        <v/>
      </c>
      <c r="L649" s="47" t="str">
        <f>IF($A649="", "", IFERROR(($E649 * Premissas!$B$4 * ($I649/$B649) + $E648 * Premissas!$B$5 * ($I648/$B648)) * Premissas!$B$7, 0))</f>
        <v/>
      </c>
      <c r="AI649" s="47" t="str">
        <f>IF($A649="", "", IFERROR(($I649 * Premissas!$B$5) + ($E649 * ($I649/$B649) * Premissas!$B$4 * 12), 0))</f>
        <v/>
      </c>
      <c r="AJ649" s="47" t="str">
        <f>IF($A649="", "", $AI649 * Premissas!$B$12)</f>
        <v/>
      </c>
      <c r="AK649" s="47" t="str">
        <f t="shared" si="13"/>
        <v/>
      </c>
      <c r="AL649" s="47"/>
      <c r="AM649" s="47"/>
    </row>
    <row r="650" ht="15.75" customHeight="1">
      <c r="K650" s="47" t="str">
        <f>IF($A650="", "", IFERROR($E650 * ($I650/$B650) * Premissas!$B$6, 0))</f>
        <v/>
      </c>
      <c r="L650" s="47" t="str">
        <f>IF($A650="", "", IFERROR(($E650 * Premissas!$B$4 * ($I650/$B650) + $E649 * Premissas!$B$5 * ($I649/$B649)) * Premissas!$B$7, 0))</f>
        <v/>
      </c>
      <c r="AI650" s="47" t="str">
        <f>IF($A650="", "", IFERROR(($I650 * Premissas!$B$5) + ($E650 * ($I650/$B650) * Premissas!$B$4 * 12), 0))</f>
        <v/>
      </c>
      <c r="AJ650" s="47" t="str">
        <f>IF($A650="", "", $AI650 * Premissas!$B$12)</f>
        <v/>
      </c>
      <c r="AK650" s="47" t="str">
        <f t="shared" si="13"/>
        <v/>
      </c>
      <c r="AL650" s="47"/>
      <c r="AM650" s="47"/>
    </row>
    <row r="651" ht="15.75" customHeight="1">
      <c r="K651" s="47" t="str">
        <f>IF($A651="", "", IFERROR($E651 * ($I651/$B651) * Premissas!$B$6, 0))</f>
        <v/>
      </c>
      <c r="L651" s="47" t="str">
        <f>IF($A651="", "", IFERROR(($E651 * Premissas!$B$4 * ($I651/$B651) + $E650 * Premissas!$B$5 * ($I650/$B650)) * Premissas!$B$7, 0))</f>
        <v/>
      </c>
      <c r="AI651" s="47" t="str">
        <f>IF($A651="", "", IFERROR(($I651 * Premissas!$B$5) + ($E651 * ($I651/$B651) * Premissas!$B$4 * 12), 0))</f>
        <v/>
      </c>
      <c r="AJ651" s="47" t="str">
        <f>IF($A651="", "", $AI651 * Premissas!$B$12)</f>
        <v/>
      </c>
      <c r="AK651" s="47" t="str">
        <f t="shared" si="13"/>
        <v/>
      </c>
      <c r="AL651" s="47"/>
      <c r="AM651" s="47"/>
    </row>
    <row r="652" ht="15.75" customHeight="1">
      <c r="K652" s="47" t="str">
        <f>IF($A652="", "", IFERROR($E652 * ($I652/$B652) * Premissas!$B$6, 0))</f>
        <v/>
      </c>
      <c r="L652" s="47" t="str">
        <f>IF($A652="", "", IFERROR(($E652 * Premissas!$B$4 * ($I652/$B652) + $E651 * Premissas!$B$5 * ($I651/$B651)) * Premissas!$B$7, 0))</f>
        <v/>
      </c>
      <c r="AI652" s="47" t="str">
        <f>IF($A652="", "", IFERROR(($I652 * Premissas!$B$5) + ($E652 * ($I652/$B652) * Premissas!$B$4 * 12), 0))</f>
        <v/>
      </c>
      <c r="AJ652" s="47" t="str">
        <f>IF($A652="", "", $AI652 * Premissas!$B$12)</f>
        <v/>
      </c>
      <c r="AK652" s="47" t="str">
        <f t="shared" si="13"/>
        <v/>
      </c>
      <c r="AL652" s="47"/>
      <c r="AM652" s="47"/>
    </row>
    <row r="653" ht="15.75" customHeight="1">
      <c r="K653" s="47" t="str">
        <f>IF($A653="", "", IFERROR($E653 * ($I653/$B653) * Premissas!$B$6, 0))</f>
        <v/>
      </c>
      <c r="L653" s="47" t="str">
        <f>IF($A653="", "", IFERROR(($E653 * Premissas!$B$4 * ($I653/$B653) + $E652 * Premissas!$B$5 * ($I652/$B652)) * Premissas!$B$7, 0))</f>
        <v/>
      </c>
      <c r="AI653" s="47" t="str">
        <f>IF($A653="", "", IFERROR(($I653 * Premissas!$B$5) + ($E653 * ($I653/$B653) * Premissas!$B$4 * 12), 0))</f>
        <v/>
      </c>
      <c r="AJ653" s="47" t="str">
        <f>IF($A653="", "", $AI653 * Premissas!$B$12)</f>
        <v/>
      </c>
      <c r="AK653" s="47" t="str">
        <f t="shared" si="13"/>
        <v/>
      </c>
      <c r="AL653" s="47"/>
      <c r="AM653" s="47"/>
    </row>
    <row r="654" ht="15.75" customHeight="1">
      <c r="K654" s="47" t="str">
        <f>IF($A654="", "", IFERROR($E654 * ($I654/$B654) * Premissas!$B$6, 0))</f>
        <v/>
      </c>
      <c r="L654" s="47" t="str">
        <f>IF($A654="", "", IFERROR(($E654 * Premissas!$B$4 * ($I654/$B654) + $E653 * Premissas!$B$5 * ($I653/$B653)) * Premissas!$B$7, 0))</f>
        <v/>
      </c>
      <c r="AI654" s="47" t="str">
        <f>IF($A654="", "", IFERROR(($I654 * Premissas!$B$5) + ($E654 * ($I654/$B654) * Premissas!$B$4 * 12), 0))</f>
        <v/>
      </c>
      <c r="AJ654" s="47" t="str">
        <f>IF($A654="", "", $AI654 * Premissas!$B$12)</f>
        <v/>
      </c>
      <c r="AK654" s="47" t="str">
        <f t="shared" si="13"/>
        <v/>
      </c>
      <c r="AL654" s="47"/>
      <c r="AM654" s="47"/>
    </row>
    <row r="655" ht="15.75" customHeight="1">
      <c r="K655" s="47" t="str">
        <f>IF($A655="", "", IFERROR($E655 * ($I655/$B655) * Premissas!$B$6, 0))</f>
        <v/>
      </c>
      <c r="L655" s="47" t="str">
        <f>IF($A655="", "", IFERROR(($E655 * Premissas!$B$4 * ($I655/$B655) + $E654 * Premissas!$B$5 * ($I654/$B654)) * Premissas!$B$7, 0))</f>
        <v/>
      </c>
      <c r="AI655" s="47" t="str">
        <f>IF($A655="", "", IFERROR(($I655 * Premissas!$B$5) + ($E655 * ($I655/$B655) * Premissas!$B$4 * 12), 0))</f>
        <v/>
      </c>
      <c r="AJ655" s="47" t="str">
        <f>IF($A655="", "", $AI655 * Premissas!$B$12)</f>
        <v/>
      </c>
      <c r="AK655" s="47" t="str">
        <f t="shared" si="13"/>
        <v/>
      </c>
      <c r="AL655" s="47"/>
      <c r="AM655" s="47"/>
    </row>
    <row r="656" ht="15.75" customHeight="1">
      <c r="K656" s="47" t="str">
        <f>IF($A656="", "", IFERROR($E656 * ($I656/$B656) * Premissas!$B$6, 0))</f>
        <v/>
      </c>
      <c r="L656" s="47" t="str">
        <f>IF($A656="", "", IFERROR(($E656 * Premissas!$B$4 * ($I656/$B656) + $E655 * Premissas!$B$5 * ($I655/$B655)) * Premissas!$B$7, 0))</f>
        <v/>
      </c>
      <c r="AI656" s="47" t="str">
        <f>IF($A656="", "", IFERROR(($I656 * Premissas!$B$5) + ($E656 * ($I656/$B656) * Premissas!$B$4 * 12), 0))</f>
        <v/>
      </c>
      <c r="AJ656" s="47" t="str">
        <f>IF($A656="", "", $AI656 * Premissas!$B$12)</f>
        <v/>
      </c>
      <c r="AK656" s="47" t="str">
        <f t="shared" si="13"/>
        <v/>
      </c>
      <c r="AL656" s="47"/>
      <c r="AM656" s="47"/>
    </row>
    <row r="657" ht="15.75" customHeight="1">
      <c r="K657" s="47" t="str">
        <f>IF($A657="", "", IFERROR($E657 * ($I657/$B657) * Premissas!$B$6, 0))</f>
        <v/>
      </c>
      <c r="L657" s="47" t="str">
        <f>IF($A657="", "", IFERROR(($E657 * Premissas!$B$4 * ($I657/$B657) + $E656 * Premissas!$B$5 * ($I656/$B656)) * Premissas!$B$7, 0))</f>
        <v/>
      </c>
      <c r="AI657" s="47" t="str">
        <f>IF($A657="", "", IFERROR(($I657 * Premissas!$B$5) + ($E657 * ($I657/$B657) * Premissas!$B$4 * 12), 0))</f>
        <v/>
      </c>
      <c r="AJ657" s="47" t="str">
        <f>IF($A657="", "", $AI657 * Premissas!$B$12)</f>
        <v/>
      </c>
      <c r="AK657" s="47" t="str">
        <f t="shared" si="13"/>
        <v/>
      </c>
      <c r="AL657" s="47"/>
      <c r="AM657" s="47"/>
    </row>
    <row r="658" ht="15.75" customHeight="1">
      <c r="K658" s="47" t="str">
        <f>IF($A658="", "", IFERROR($E658 * ($I658/$B658) * Premissas!$B$6, 0))</f>
        <v/>
      </c>
      <c r="L658" s="47" t="str">
        <f>IF($A658="", "", IFERROR(($E658 * Premissas!$B$4 * ($I658/$B658) + $E657 * Premissas!$B$5 * ($I657/$B657)) * Premissas!$B$7, 0))</f>
        <v/>
      </c>
      <c r="AI658" s="47" t="str">
        <f>IF($A658="", "", IFERROR(($I658 * Premissas!$B$5) + ($E658 * ($I658/$B658) * Premissas!$B$4 * 12), 0))</f>
        <v/>
      </c>
      <c r="AJ658" s="47" t="str">
        <f>IF($A658="", "", $AI658 * Premissas!$B$12)</f>
        <v/>
      </c>
      <c r="AK658" s="47" t="str">
        <f t="shared" si="13"/>
        <v/>
      </c>
      <c r="AL658" s="47"/>
      <c r="AM658" s="47"/>
    </row>
    <row r="659" ht="15.75" customHeight="1">
      <c r="K659" s="47" t="str">
        <f>IF($A659="", "", IFERROR($E659 * ($I659/$B659) * Premissas!$B$6, 0))</f>
        <v/>
      </c>
      <c r="L659" s="47" t="str">
        <f>IF($A659="", "", IFERROR(($E659 * Premissas!$B$4 * ($I659/$B659) + $E658 * Premissas!$B$5 * ($I658/$B658)) * Premissas!$B$7, 0))</f>
        <v/>
      </c>
      <c r="AI659" s="47" t="str">
        <f>IF($A659="", "", IFERROR(($I659 * Premissas!$B$5) + ($E659 * ($I659/$B659) * Premissas!$B$4 * 12), 0))</f>
        <v/>
      </c>
      <c r="AJ659" s="47" t="str">
        <f>IF($A659="", "", $AI659 * Premissas!$B$12)</f>
        <v/>
      </c>
      <c r="AK659" s="47" t="str">
        <f t="shared" si="13"/>
        <v/>
      </c>
      <c r="AL659" s="47"/>
      <c r="AM659" s="47"/>
    </row>
    <row r="660" ht="15.75" customHeight="1">
      <c r="K660" s="47" t="str">
        <f>IF($A660="", "", IFERROR($E660 * ($I660/$B660) * Premissas!$B$6, 0))</f>
        <v/>
      </c>
      <c r="L660" s="47" t="str">
        <f>IF($A660="", "", IFERROR(($E660 * Premissas!$B$4 * ($I660/$B660) + $E659 * Premissas!$B$5 * ($I659/$B659)) * Premissas!$B$7, 0))</f>
        <v/>
      </c>
      <c r="AI660" s="47" t="str">
        <f>IF($A660="", "", IFERROR(($I660 * Premissas!$B$5) + ($E660 * ($I660/$B660) * Premissas!$B$4 * 12), 0))</f>
        <v/>
      </c>
      <c r="AJ660" s="47" t="str">
        <f>IF($A660="", "", $AI660 * Premissas!$B$12)</f>
        <v/>
      </c>
      <c r="AK660" s="47" t="str">
        <f t="shared" si="13"/>
        <v/>
      </c>
      <c r="AL660" s="47"/>
      <c r="AM660" s="47"/>
    </row>
    <row r="661" ht="15.75" customHeight="1">
      <c r="K661" s="47" t="str">
        <f>IF($A661="", "", IFERROR($E661 * ($I661/$B661) * Premissas!$B$6, 0))</f>
        <v/>
      </c>
      <c r="L661" s="47" t="str">
        <f>IF($A661="", "", IFERROR(($E661 * Premissas!$B$4 * ($I661/$B661) + $E660 * Premissas!$B$5 * ($I660/$B660)) * Premissas!$B$7, 0))</f>
        <v/>
      </c>
      <c r="AI661" s="47" t="str">
        <f>IF($A661="", "", IFERROR(($I661 * Premissas!$B$5) + ($E661 * ($I661/$B661) * Premissas!$B$4 * 12), 0))</f>
        <v/>
      </c>
      <c r="AJ661" s="47" t="str">
        <f>IF($A661="", "", $AI661 * Premissas!$B$12)</f>
        <v/>
      </c>
      <c r="AK661" s="47" t="str">
        <f t="shared" si="13"/>
        <v/>
      </c>
      <c r="AL661" s="47"/>
      <c r="AM661" s="47"/>
    </row>
    <row r="662" ht="15.75" customHeight="1">
      <c r="K662" s="47" t="str">
        <f>IF($A662="", "", IFERROR($E662 * ($I662/$B662) * Premissas!$B$6, 0))</f>
        <v/>
      </c>
      <c r="L662" s="47" t="str">
        <f>IF($A662="", "", IFERROR(($E662 * Premissas!$B$4 * ($I662/$B662) + $E661 * Premissas!$B$5 * ($I661/$B661)) * Premissas!$B$7, 0))</f>
        <v/>
      </c>
      <c r="AI662" s="47" t="str">
        <f>IF($A662="", "", IFERROR(($I662 * Premissas!$B$5) + ($E662 * ($I662/$B662) * Premissas!$B$4 * 12), 0))</f>
        <v/>
      </c>
      <c r="AJ662" s="47" t="str">
        <f>IF($A662="", "", $AI662 * Premissas!$B$12)</f>
        <v/>
      </c>
      <c r="AK662" s="47" t="str">
        <f t="shared" si="13"/>
        <v/>
      </c>
      <c r="AL662" s="47"/>
      <c r="AM662" s="47"/>
    </row>
    <row r="663" ht="15.75" customHeight="1">
      <c r="K663" s="47" t="str">
        <f>IF($A663="", "", IFERROR($E663 * ($I663/$B663) * Premissas!$B$6, 0))</f>
        <v/>
      </c>
      <c r="L663" s="47" t="str">
        <f>IF($A663="", "", IFERROR(($E663 * Premissas!$B$4 * ($I663/$B663) + $E662 * Premissas!$B$5 * ($I662/$B662)) * Premissas!$B$7, 0))</f>
        <v/>
      </c>
      <c r="AI663" s="47" t="str">
        <f>IF($A663="", "", IFERROR(($I663 * Premissas!$B$5) + ($E663 * ($I663/$B663) * Premissas!$B$4 * 12), 0))</f>
        <v/>
      </c>
      <c r="AJ663" s="47" t="str">
        <f>IF($A663="", "", $AI663 * Premissas!$B$12)</f>
        <v/>
      </c>
      <c r="AK663" s="47" t="str">
        <f t="shared" si="13"/>
        <v/>
      </c>
      <c r="AL663" s="47"/>
      <c r="AM663" s="47"/>
    </row>
    <row r="664" ht="15.75" customHeight="1">
      <c r="K664" s="47" t="str">
        <f>IF($A664="", "", IFERROR($E664 * ($I664/$B664) * Premissas!$B$6, 0))</f>
        <v/>
      </c>
      <c r="L664" s="47" t="str">
        <f>IF($A664="", "", IFERROR(($E664 * Premissas!$B$4 * ($I664/$B664) + $E663 * Premissas!$B$5 * ($I663/$B663)) * Premissas!$B$7, 0))</f>
        <v/>
      </c>
      <c r="AI664" s="47" t="str">
        <f>IF($A664="", "", IFERROR(($I664 * Premissas!$B$5) + ($E664 * ($I664/$B664) * Premissas!$B$4 * 12), 0))</f>
        <v/>
      </c>
      <c r="AJ664" s="47" t="str">
        <f>IF($A664="", "", $AI664 * Premissas!$B$12)</f>
        <v/>
      </c>
      <c r="AK664" s="47" t="str">
        <f t="shared" si="13"/>
        <v/>
      </c>
      <c r="AL664" s="47"/>
      <c r="AM664" s="47"/>
    </row>
    <row r="665" ht="15.75" customHeight="1">
      <c r="K665" s="47" t="str">
        <f>IF($A665="", "", IFERROR($E665 * ($I665/$B665) * Premissas!$B$6, 0))</f>
        <v/>
      </c>
      <c r="L665" s="47" t="str">
        <f>IF($A665="", "", IFERROR(($E665 * Premissas!$B$4 * ($I665/$B665) + $E664 * Premissas!$B$5 * ($I664/$B664)) * Premissas!$B$7, 0))</f>
        <v/>
      </c>
      <c r="AI665" s="47" t="str">
        <f>IF($A665="", "", IFERROR(($I665 * Premissas!$B$5) + ($E665 * ($I665/$B665) * Premissas!$B$4 * 12), 0))</f>
        <v/>
      </c>
      <c r="AJ665" s="47" t="str">
        <f>IF($A665="", "", $AI665 * Premissas!$B$12)</f>
        <v/>
      </c>
      <c r="AK665" s="47" t="str">
        <f t="shared" si="13"/>
        <v/>
      </c>
      <c r="AL665" s="47"/>
      <c r="AM665" s="47"/>
    </row>
    <row r="666" ht="15.75" customHeight="1">
      <c r="K666" s="47" t="str">
        <f>IF($A666="", "", IFERROR($E666 * ($I666/$B666) * Premissas!$B$6, 0))</f>
        <v/>
      </c>
      <c r="L666" s="47" t="str">
        <f>IF($A666="", "", IFERROR(($E666 * Premissas!$B$4 * ($I666/$B666) + $E665 * Premissas!$B$5 * ($I665/$B665)) * Premissas!$B$7, 0))</f>
        <v/>
      </c>
      <c r="AI666" s="47" t="str">
        <f>IF($A666="", "", IFERROR(($I666 * Premissas!$B$5) + ($E666 * ($I666/$B666) * Premissas!$B$4 * 12), 0))</f>
        <v/>
      </c>
      <c r="AJ666" s="47" t="str">
        <f>IF($A666="", "", $AI666 * Premissas!$B$12)</f>
        <v/>
      </c>
      <c r="AK666" s="47" t="str">
        <f t="shared" si="13"/>
        <v/>
      </c>
      <c r="AL666" s="47"/>
      <c r="AM666" s="47"/>
    </row>
    <row r="667" ht="15.75" customHeight="1">
      <c r="K667" s="47" t="str">
        <f>IF($A667="", "", IFERROR($E667 * ($I667/$B667) * Premissas!$B$6, 0))</f>
        <v/>
      </c>
      <c r="L667" s="47" t="str">
        <f>IF($A667="", "", IFERROR(($E667 * Premissas!$B$4 * ($I667/$B667) + $E666 * Premissas!$B$5 * ($I666/$B666)) * Premissas!$B$7, 0))</f>
        <v/>
      </c>
      <c r="AI667" s="47" t="str">
        <f>IF($A667="", "", IFERROR(($I667 * Premissas!$B$5) + ($E667 * ($I667/$B667) * Premissas!$B$4 * 12), 0))</f>
        <v/>
      </c>
      <c r="AJ667" s="47" t="str">
        <f>IF($A667="", "", $AI667 * Premissas!$B$12)</f>
        <v/>
      </c>
      <c r="AK667" s="47" t="str">
        <f t="shared" si="13"/>
        <v/>
      </c>
      <c r="AL667" s="47"/>
      <c r="AM667" s="47"/>
    </row>
    <row r="668" ht="15.75" customHeight="1">
      <c r="K668" s="47" t="str">
        <f>IF($A668="", "", IFERROR($E668 * ($I668/$B668) * Premissas!$B$6, 0))</f>
        <v/>
      </c>
      <c r="L668" s="47" t="str">
        <f>IF($A668="", "", IFERROR(($E668 * Premissas!$B$4 * ($I668/$B668) + $E667 * Premissas!$B$5 * ($I667/$B667)) * Premissas!$B$7, 0))</f>
        <v/>
      </c>
      <c r="AI668" s="47" t="str">
        <f>IF($A668="", "", IFERROR(($I668 * Premissas!$B$5) + ($E668 * ($I668/$B668) * Premissas!$B$4 * 12), 0))</f>
        <v/>
      </c>
      <c r="AJ668" s="47" t="str">
        <f>IF($A668="", "", $AI668 * Premissas!$B$12)</f>
        <v/>
      </c>
      <c r="AK668" s="47" t="str">
        <f t="shared" si="13"/>
        <v/>
      </c>
      <c r="AL668" s="47"/>
      <c r="AM668" s="47"/>
    </row>
    <row r="669" ht="15.75" customHeight="1">
      <c r="K669" s="47" t="str">
        <f>IF($A669="", "", IFERROR($E669 * ($I669/$B669) * Premissas!$B$6, 0))</f>
        <v/>
      </c>
      <c r="L669" s="47" t="str">
        <f>IF($A669="", "", IFERROR(($E669 * Premissas!$B$4 * ($I669/$B669) + $E668 * Premissas!$B$5 * ($I668/$B668)) * Premissas!$B$7, 0))</f>
        <v/>
      </c>
      <c r="AI669" s="47" t="str">
        <f>IF($A669="", "", IFERROR(($I669 * Premissas!$B$5) + ($E669 * ($I669/$B669) * Premissas!$B$4 * 12), 0))</f>
        <v/>
      </c>
      <c r="AJ669" s="47" t="str">
        <f>IF($A669="", "", $AI669 * Premissas!$B$12)</f>
        <v/>
      </c>
      <c r="AK669" s="47" t="str">
        <f t="shared" si="13"/>
        <v/>
      </c>
      <c r="AL669" s="47"/>
      <c r="AM669" s="47"/>
    </row>
    <row r="670" ht="15.75" customHeight="1">
      <c r="K670" s="47" t="str">
        <f>IF($A670="", "", IFERROR($E670 * ($I670/$B670) * Premissas!$B$6, 0))</f>
        <v/>
      </c>
      <c r="L670" s="47" t="str">
        <f>IF($A670="", "", IFERROR(($E670 * Premissas!$B$4 * ($I670/$B670) + $E669 * Premissas!$B$5 * ($I669/$B669)) * Premissas!$B$7, 0))</f>
        <v/>
      </c>
      <c r="AI670" s="47" t="str">
        <f>IF($A670="", "", IFERROR(($I670 * Premissas!$B$5) + ($E670 * ($I670/$B670) * Premissas!$B$4 * 12), 0))</f>
        <v/>
      </c>
      <c r="AJ670" s="47" t="str">
        <f>IF($A670="", "", $AI670 * Premissas!$B$12)</f>
        <v/>
      </c>
      <c r="AK670" s="47" t="str">
        <f t="shared" si="13"/>
        <v/>
      </c>
      <c r="AL670" s="47"/>
      <c r="AM670" s="47"/>
    </row>
    <row r="671" ht="15.75" customHeight="1">
      <c r="K671" s="47" t="str">
        <f>IF($A671="", "", IFERROR($E671 * ($I671/$B671) * Premissas!$B$6, 0))</f>
        <v/>
      </c>
      <c r="L671" s="47" t="str">
        <f>IF($A671="", "", IFERROR(($E671 * Premissas!$B$4 * ($I671/$B671) + $E670 * Premissas!$B$5 * ($I670/$B670)) * Premissas!$B$7, 0))</f>
        <v/>
      </c>
      <c r="AI671" s="47" t="str">
        <f>IF($A671="", "", IFERROR(($I671 * Premissas!$B$5) + ($E671 * ($I671/$B671) * Premissas!$B$4 * 12), 0))</f>
        <v/>
      </c>
      <c r="AJ671" s="47" t="str">
        <f>IF($A671="", "", $AI671 * Premissas!$B$12)</f>
        <v/>
      </c>
      <c r="AK671" s="47" t="str">
        <f t="shared" si="13"/>
        <v/>
      </c>
      <c r="AL671" s="47"/>
      <c r="AM671" s="47"/>
    </row>
    <row r="672" ht="15.75" customHeight="1">
      <c r="K672" s="47" t="str">
        <f>IF($A672="", "", IFERROR($E672 * ($I672/$B672) * Premissas!$B$6, 0))</f>
        <v/>
      </c>
      <c r="L672" s="47" t="str">
        <f>IF($A672="", "", IFERROR(($E672 * Premissas!$B$4 * ($I672/$B672) + $E671 * Premissas!$B$5 * ($I671/$B671)) * Premissas!$B$7, 0))</f>
        <v/>
      </c>
      <c r="AI672" s="47" t="str">
        <f>IF($A672="", "", IFERROR(($I672 * Premissas!$B$5) + ($E672 * ($I672/$B672) * Premissas!$B$4 * 12), 0))</f>
        <v/>
      </c>
      <c r="AJ672" s="47" t="str">
        <f>IF($A672="", "", $AI672 * Premissas!$B$12)</f>
        <v/>
      </c>
      <c r="AK672" s="47" t="str">
        <f t="shared" si="13"/>
        <v/>
      </c>
      <c r="AL672" s="47"/>
      <c r="AM672" s="47"/>
    </row>
    <row r="673" ht="15.75" customHeight="1">
      <c r="K673" s="47" t="str">
        <f>IF($A673="", "", IFERROR($E673 * ($I673/$B673) * Premissas!$B$6, 0))</f>
        <v/>
      </c>
      <c r="L673" s="47" t="str">
        <f>IF($A673="", "", IFERROR(($E673 * Premissas!$B$4 * ($I673/$B673) + $E672 * Premissas!$B$5 * ($I672/$B672)) * Premissas!$B$7, 0))</f>
        <v/>
      </c>
      <c r="AI673" s="47" t="str">
        <f>IF($A673="", "", IFERROR(($I673 * Premissas!$B$5) + ($E673 * ($I673/$B673) * Premissas!$B$4 * 12), 0))</f>
        <v/>
      </c>
      <c r="AJ673" s="47" t="str">
        <f>IF($A673="", "", $AI673 * Premissas!$B$12)</f>
        <v/>
      </c>
      <c r="AK673" s="47" t="str">
        <f t="shared" si="13"/>
        <v/>
      </c>
      <c r="AL673" s="47"/>
      <c r="AM673" s="47"/>
    </row>
    <row r="674" ht="15.75" customHeight="1">
      <c r="K674" s="47" t="str">
        <f>IF($A674="", "", IFERROR($E674 * ($I674/$B674) * Premissas!$B$6, 0))</f>
        <v/>
      </c>
      <c r="L674" s="47" t="str">
        <f>IF($A674="", "", IFERROR(($E674 * Premissas!$B$4 * ($I674/$B674) + $E673 * Premissas!$B$5 * ($I673/$B673)) * Premissas!$B$7, 0))</f>
        <v/>
      </c>
      <c r="AI674" s="47" t="str">
        <f>IF($A674="", "", IFERROR(($I674 * Premissas!$B$5) + ($E674 * ($I674/$B674) * Premissas!$B$4 * 12), 0))</f>
        <v/>
      </c>
      <c r="AJ674" s="47" t="str">
        <f>IF($A674="", "", $AI674 * Premissas!$B$12)</f>
        <v/>
      </c>
      <c r="AK674" s="47" t="str">
        <f t="shared" si="13"/>
        <v/>
      </c>
      <c r="AL674" s="47"/>
      <c r="AM674" s="47"/>
    </row>
    <row r="675" ht="15.75" customHeight="1">
      <c r="K675" s="47" t="str">
        <f>IF($A675="", "", IFERROR($E675 * ($I675/$B675) * Premissas!$B$6, 0))</f>
        <v/>
      </c>
      <c r="L675" s="47" t="str">
        <f>IF($A675="", "", IFERROR(($E675 * Premissas!$B$4 * ($I675/$B675) + $E674 * Premissas!$B$5 * ($I674/$B674)) * Premissas!$B$7, 0))</f>
        <v/>
      </c>
      <c r="AI675" s="47" t="str">
        <f>IF($A675="", "", IFERROR(($I675 * Premissas!$B$5) + ($E675 * ($I675/$B675) * Premissas!$B$4 * 12), 0))</f>
        <v/>
      </c>
      <c r="AJ675" s="47" t="str">
        <f>IF($A675="", "", $AI675 * Premissas!$B$12)</f>
        <v/>
      </c>
      <c r="AK675" s="47" t="str">
        <f t="shared" si="13"/>
        <v/>
      </c>
      <c r="AL675" s="47"/>
      <c r="AM675" s="47"/>
    </row>
    <row r="676" ht="15.75" customHeight="1">
      <c r="K676" s="47" t="str">
        <f>IF($A676="", "", IFERROR($E676 * ($I676/$B676) * Premissas!$B$6, 0))</f>
        <v/>
      </c>
      <c r="L676" s="47" t="str">
        <f>IF($A676="", "", IFERROR(($E676 * Premissas!$B$4 * ($I676/$B676) + $E675 * Premissas!$B$5 * ($I675/$B675)) * Premissas!$B$7, 0))</f>
        <v/>
      </c>
      <c r="AI676" s="47" t="str">
        <f>IF($A676="", "", IFERROR(($I676 * Premissas!$B$5) + ($E676 * ($I676/$B676) * Premissas!$B$4 * 12), 0))</f>
        <v/>
      </c>
      <c r="AJ676" s="47" t="str">
        <f>IF($A676="", "", $AI676 * Premissas!$B$12)</f>
        <v/>
      </c>
      <c r="AK676" s="47" t="str">
        <f t="shared" si="13"/>
        <v/>
      </c>
      <c r="AL676" s="47"/>
      <c r="AM676" s="47"/>
    </row>
    <row r="677" ht="15.75" customHeight="1">
      <c r="K677" s="47" t="str">
        <f>IF($A677="", "", IFERROR($E677 * ($I677/$B677) * Premissas!$B$6, 0))</f>
        <v/>
      </c>
      <c r="L677" s="47" t="str">
        <f>IF($A677="", "", IFERROR(($E677 * Premissas!$B$4 * ($I677/$B677) + $E676 * Premissas!$B$5 * ($I676/$B676)) * Premissas!$B$7, 0))</f>
        <v/>
      </c>
      <c r="AI677" s="47" t="str">
        <f>IF($A677="", "", IFERROR(($I677 * Premissas!$B$5) + ($E677 * ($I677/$B677) * Premissas!$B$4 * 12), 0))</f>
        <v/>
      </c>
      <c r="AJ677" s="47" t="str">
        <f>IF($A677="", "", $AI677 * Premissas!$B$12)</f>
        <v/>
      </c>
      <c r="AK677" s="47" t="str">
        <f t="shared" si="13"/>
        <v/>
      </c>
      <c r="AL677" s="47"/>
      <c r="AM677" s="47"/>
    </row>
    <row r="678" ht="15.75" customHeight="1">
      <c r="K678" s="47" t="str">
        <f>IF($A678="", "", IFERROR($E678 * ($I678/$B678) * Premissas!$B$6, 0))</f>
        <v/>
      </c>
      <c r="L678" s="47" t="str">
        <f>IF($A678="", "", IFERROR(($E678 * Premissas!$B$4 * ($I678/$B678) + $E677 * Premissas!$B$5 * ($I677/$B677)) * Premissas!$B$7, 0))</f>
        <v/>
      </c>
      <c r="AI678" s="47" t="str">
        <f>IF($A678="", "", IFERROR(($I678 * Premissas!$B$5) + ($E678 * ($I678/$B678) * Premissas!$B$4 * 12), 0))</f>
        <v/>
      </c>
      <c r="AJ678" s="47" t="str">
        <f>IF($A678="", "", $AI678 * Premissas!$B$12)</f>
        <v/>
      </c>
      <c r="AK678" s="47" t="str">
        <f t="shared" si="13"/>
        <v/>
      </c>
      <c r="AL678" s="47"/>
      <c r="AM678" s="47"/>
    </row>
    <row r="679" ht="15.75" customHeight="1">
      <c r="K679" s="47" t="str">
        <f>IF($A679="", "", IFERROR($E679 * ($I679/$B679) * Premissas!$B$6, 0))</f>
        <v/>
      </c>
      <c r="L679" s="47" t="str">
        <f>IF($A679="", "", IFERROR(($E679 * Premissas!$B$4 * ($I679/$B679) + $E678 * Premissas!$B$5 * ($I678/$B678)) * Premissas!$B$7, 0))</f>
        <v/>
      </c>
      <c r="AI679" s="47" t="str">
        <f>IF($A679="", "", IFERROR(($I679 * Premissas!$B$5) + ($E679 * ($I679/$B679) * Premissas!$B$4 * 12), 0))</f>
        <v/>
      </c>
      <c r="AJ679" s="47" t="str">
        <f>IF($A679="", "", $AI679 * Premissas!$B$12)</f>
        <v/>
      </c>
      <c r="AK679" s="47" t="str">
        <f t="shared" si="13"/>
        <v/>
      </c>
      <c r="AL679" s="47"/>
      <c r="AM679" s="47"/>
    </row>
    <row r="680" ht="15.75" customHeight="1">
      <c r="K680" s="47" t="str">
        <f>IF($A680="", "", IFERROR($E680 * ($I680/$B680) * Premissas!$B$6, 0))</f>
        <v/>
      </c>
      <c r="L680" s="47" t="str">
        <f>IF($A680="", "", IFERROR(($E680 * Premissas!$B$4 * ($I680/$B680) + $E679 * Premissas!$B$5 * ($I679/$B679)) * Premissas!$B$7, 0))</f>
        <v/>
      </c>
      <c r="AI680" s="47" t="str">
        <f>IF($A680="", "", IFERROR(($I680 * Premissas!$B$5) + ($E680 * ($I680/$B680) * Premissas!$B$4 * 12), 0))</f>
        <v/>
      </c>
      <c r="AJ680" s="47" t="str">
        <f>IF($A680="", "", $AI680 * Premissas!$B$12)</f>
        <v/>
      </c>
      <c r="AK680" s="47" t="str">
        <f t="shared" si="13"/>
        <v/>
      </c>
      <c r="AL680" s="47"/>
      <c r="AM680" s="47"/>
    </row>
    <row r="681" ht="15.75" customHeight="1">
      <c r="K681" s="47" t="str">
        <f>IF($A681="", "", IFERROR($E681 * ($I681/$B681) * Premissas!$B$6, 0))</f>
        <v/>
      </c>
      <c r="L681" s="47" t="str">
        <f>IF($A681="", "", IFERROR(($E681 * Premissas!$B$4 * ($I681/$B681) + $E680 * Premissas!$B$5 * ($I680/$B680)) * Premissas!$B$7, 0))</f>
        <v/>
      </c>
      <c r="AI681" s="47" t="str">
        <f>IF($A681="", "", IFERROR(($I681 * Premissas!$B$5) + ($E681 * ($I681/$B681) * Premissas!$B$4 * 12), 0))</f>
        <v/>
      </c>
      <c r="AJ681" s="47" t="str">
        <f>IF($A681="", "", $AI681 * Premissas!$B$12)</f>
        <v/>
      </c>
      <c r="AK681" s="47" t="str">
        <f t="shared" si="13"/>
        <v/>
      </c>
      <c r="AL681" s="47"/>
      <c r="AM681" s="47"/>
    </row>
    <row r="682" ht="15.75" customHeight="1">
      <c r="K682" s="47" t="str">
        <f>IF($A682="", "", IFERROR($E682 * ($I682/$B682) * Premissas!$B$6, 0))</f>
        <v/>
      </c>
      <c r="L682" s="47" t="str">
        <f>IF($A682="", "", IFERROR(($E682 * Premissas!$B$4 * ($I682/$B682) + $E681 * Premissas!$B$5 * ($I681/$B681)) * Premissas!$B$7, 0))</f>
        <v/>
      </c>
      <c r="AI682" s="47" t="str">
        <f>IF($A682="", "", IFERROR(($I682 * Premissas!$B$5) + ($E682 * ($I682/$B682) * Premissas!$B$4 * 12), 0))</f>
        <v/>
      </c>
      <c r="AJ682" s="47" t="str">
        <f>IF($A682="", "", $AI682 * Premissas!$B$12)</f>
        <v/>
      </c>
      <c r="AK682" s="47" t="str">
        <f t="shared" si="13"/>
        <v/>
      </c>
      <c r="AL682" s="47"/>
      <c r="AM682" s="47"/>
    </row>
    <row r="683" ht="15.75" customHeight="1">
      <c r="K683" s="47" t="str">
        <f>IF($A683="", "", IFERROR($E683 * ($I683/$B683) * Premissas!$B$6, 0))</f>
        <v/>
      </c>
      <c r="L683" s="47" t="str">
        <f>IF($A683="", "", IFERROR(($E683 * Premissas!$B$4 * ($I683/$B683) + $E682 * Premissas!$B$5 * ($I682/$B682)) * Premissas!$B$7, 0))</f>
        <v/>
      </c>
      <c r="AI683" s="47" t="str">
        <f>IF($A683="", "", IFERROR(($I683 * Premissas!$B$5) + ($E683 * ($I683/$B683) * Premissas!$B$4 * 12), 0))</f>
        <v/>
      </c>
      <c r="AJ683" s="47" t="str">
        <f>IF($A683="", "", $AI683 * Premissas!$B$12)</f>
        <v/>
      </c>
      <c r="AK683" s="47" t="str">
        <f t="shared" si="13"/>
        <v/>
      </c>
      <c r="AL683" s="47"/>
      <c r="AM683" s="47"/>
    </row>
    <row r="684" ht="15.75" customHeight="1">
      <c r="K684" s="47" t="str">
        <f>IF($A684="", "", IFERROR($E684 * ($I684/$B684) * Premissas!$B$6, 0))</f>
        <v/>
      </c>
      <c r="L684" s="47" t="str">
        <f>IF($A684="", "", IFERROR(($E684 * Premissas!$B$4 * ($I684/$B684) + $E683 * Premissas!$B$5 * ($I683/$B683)) * Premissas!$B$7, 0))</f>
        <v/>
      </c>
      <c r="AI684" s="47" t="str">
        <f>IF($A684="", "", IFERROR(($I684 * Premissas!$B$5) + ($E684 * ($I684/$B684) * Premissas!$B$4 * 12), 0))</f>
        <v/>
      </c>
      <c r="AJ684" s="47" t="str">
        <f>IF($A684="", "", $AI684 * Premissas!$B$12)</f>
        <v/>
      </c>
      <c r="AK684" s="47" t="str">
        <f t="shared" si="13"/>
        <v/>
      </c>
      <c r="AL684" s="47"/>
      <c r="AM684" s="47"/>
    </row>
    <row r="685" ht="15.75" customHeight="1">
      <c r="K685" s="47" t="str">
        <f>IF($A685="", "", IFERROR($E685 * ($I685/$B685) * Premissas!$B$6, 0))</f>
        <v/>
      </c>
      <c r="L685" s="47" t="str">
        <f>IF($A685="", "", IFERROR(($E685 * Premissas!$B$4 * ($I685/$B685) + $E684 * Premissas!$B$5 * ($I684/$B684)) * Premissas!$B$7, 0))</f>
        <v/>
      </c>
      <c r="AI685" s="47" t="str">
        <f>IF($A685="", "", IFERROR(($I685 * Premissas!$B$5) + ($E685 * ($I685/$B685) * Premissas!$B$4 * 12), 0))</f>
        <v/>
      </c>
      <c r="AJ685" s="47" t="str">
        <f>IF($A685="", "", $AI685 * Premissas!$B$12)</f>
        <v/>
      </c>
      <c r="AK685" s="47" t="str">
        <f t="shared" si="13"/>
        <v/>
      </c>
      <c r="AL685" s="47"/>
      <c r="AM685" s="47"/>
    </row>
    <row r="686" ht="15.75" customHeight="1">
      <c r="K686" s="47" t="str">
        <f>IF($A686="", "", IFERROR($E686 * ($I686/$B686) * Premissas!$B$6, 0))</f>
        <v/>
      </c>
      <c r="L686" s="47" t="str">
        <f>IF($A686="", "", IFERROR(($E686 * Premissas!$B$4 * ($I686/$B686) + $E685 * Premissas!$B$5 * ($I685/$B685)) * Premissas!$B$7, 0))</f>
        <v/>
      </c>
      <c r="AI686" s="47" t="str">
        <f>IF($A686="", "", IFERROR(($I686 * Premissas!$B$5) + ($E686 * ($I686/$B686) * Premissas!$B$4 * 12), 0))</f>
        <v/>
      </c>
      <c r="AJ686" s="47" t="str">
        <f>IF($A686="", "", $AI686 * Premissas!$B$12)</f>
        <v/>
      </c>
      <c r="AK686" s="47" t="str">
        <f t="shared" si="13"/>
        <v/>
      </c>
      <c r="AL686" s="47"/>
      <c r="AM686" s="47"/>
    </row>
    <row r="687" ht="15.75" customHeight="1">
      <c r="K687" s="47" t="str">
        <f>IF($A687="", "", IFERROR($E687 * ($I687/$B687) * Premissas!$B$6, 0))</f>
        <v/>
      </c>
      <c r="L687" s="47" t="str">
        <f>IF($A687="", "", IFERROR(($E687 * Premissas!$B$4 * ($I687/$B687) + $E686 * Premissas!$B$5 * ($I686/$B686)) * Premissas!$B$7, 0))</f>
        <v/>
      </c>
      <c r="AI687" s="47" t="str">
        <f>IF($A687="", "", IFERROR(($I687 * Premissas!$B$5) + ($E687 * ($I687/$B687) * Premissas!$B$4 * 12), 0))</f>
        <v/>
      </c>
      <c r="AJ687" s="47" t="str">
        <f>IF($A687="", "", $AI687 * Premissas!$B$12)</f>
        <v/>
      </c>
      <c r="AK687" s="47" t="str">
        <f t="shared" si="13"/>
        <v/>
      </c>
      <c r="AL687" s="47"/>
      <c r="AM687" s="47"/>
    </row>
    <row r="688" ht="15.75" customHeight="1">
      <c r="K688" s="47" t="str">
        <f>IF($A688="", "", IFERROR($E688 * ($I688/$B688) * Premissas!$B$6, 0))</f>
        <v/>
      </c>
      <c r="L688" s="47" t="str">
        <f>IF($A688="", "", IFERROR(($E688 * Premissas!$B$4 * ($I688/$B688) + $E687 * Premissas!$B$5 * ($I687/$B687)) * Premissas!$B$7, 0))</f>
        <v/>
      </c>
      <c r="AI688" s="47" t="str">
        <f>IF($A688="", "", IFERROR(($I688 * Premissas!$B$5) + ($E688 * ($I688/$B688) * Premissas!$B$4 * 12), 0))</f>
        <v/>
      </c>
      <c r="AJ688" s="47" t="str">
        <f>IF($A688="", "", $AI688 * Premissas!$B$12)</f>
        <v/>
      </c>
      <c r="AK688" s="47" t="str">
        <f t="shared" si="13"/>
        <v/>
      </c>
      <c r="AL688" s="47"/>
      <c r="AM688" s="47"/>
    </row>
    <row r="689" ht="15.75" customHeight="1">
      <c r="K689" s="47" t="str">
        <f>IF($A689="", "", IFERROR($E689 * ($I689/$B689) * Premissas!$B$6, 0))</f>
        <v/>
      </c>
      <c r="L689" s="47" t="str">
        <f>IF($A689="", "", IFERROR(($E689 * Premissas!$B$4 * ($I689/$B689) + $E688 * Premissas!$B$5 * ($I688/$B688)) * Premissas!$B$7, 0))</f>
        <v/>
      </c>
      <c r="AI689" s="47" t="str">
        <f>IF($A689="", "", IFERROR(($I689 * Premissas!$B$5) + ($E689 * ($I689/$B689) * Premissas!$B$4 * 12), 0))</f>
        <v/>
      </c>
      <c r="AJ689" s="47" t="str">
        <f>IF($A689="", "", $AI689 * Premissas!$B$12)</f>
        <v/>
      </c>
      <c r="AK689" s="47" t="str">
        <f t="shared" si="13"/>
        <v/>
      </c>
      <c r="AL689" s="47"/>
      <c r="AM689" s="47"/>
    </row>
    <row r="690" ht="15.75" customHeight="1">
      <c r="K690" s="47" t="str">
        <f>IF($A690="", "", IFERROR($E690 * ($I690/$B690) * Premissas!$B$6, 0))</f>
        <v/>
      </c>
      <c r="L690" s="47" t="str">
        <f>IF($A690="", "", IFERROR(($E690 * Premissas!$B$4 * ($I690/$B690) + $E689 * Premissas!$B$5 * ($I689/$B689)) * Premissas!$B$7, 0))</f>
        <v/>
      </c>
      <c r="AI690" s="47" t="str">
        <f>IF($A690="", "", IFERROR(($I690 * Premissas!$B$5) + ($E690 * ($I690/$B690) * Premissas!$B$4 * 12), 0))</f>
        <v/>
      </c>
      <c r="AJ690" s="47" t="str">
        <f>IF($A690="", "", $AI690 * Premissas!$B$12)</f>
        <v/>
      </c>
      <c r="AK690" s="47" t="str">
        <f t="shared" si="13"/>
        <v/>
      </c>
      <c r="AL690" s="47"/>
      <c r="AM690" s="47"/>
    </row>
    <row r="691" ht="15.75" customHeight="1">
      <c r="K691" s="47" t="str">
        <f>IF($A691="", "", IFERROR($E691 * ($I691/$B691) * Premissas!$B$6, 0))</f>
        <v/>
      </c>
      <c r="L691" s="47" t="str">
        <f>IF($A691="", "", IFERROR(($E691 * Premissas!$B$4 * ($I691/$B691) + $E690 * Premissas!$B$5 * ($I690/$B690)) * Premissas!$B$7, 0))</f>
        <v/>
      </c>
      <c r="AI691" s="47" t="str">
        <f>IF($A691="", "", IFERROR(($I691 * Premissas!$B$5) + ($E691 * ($I691/$B691) * Premissas!$B$4 * 12), 0))</f>
        <v/>
      </c>
      <c r="AJ691" s="47" t="str">
        <f>IF($A691="", "", $AI691 * Premissas!$B$12)</f>
        <v/>
      </c>
      <c r="AK691" s="47" t="str">
        <f t="shared" si="13"/>
        <v/>
      </c>
      <c r="AL691" s="47"/>
      <c r="AM691" s="47"/>
    </row>
    <row r="692" ht="15.75" customHeight="1">
      <c r="K692" s="47" t="str">
        <f>IF($A692="", "", IFERROR($E692 * ($I692/$B692) * Premissas!$B$6, 0))</f>
        <v/>
      </c>
      <c r="L692" s="47" t="str">
        <f>IF($A692="", "", IFERROR(($E692 * Premissas!$B$4 * ($I692/$B692) + $E691 * Premissas!$B$5 * ($I691/$B691)) * Premissas!$B$7, 0))</f>
        <v/>
      </c>
      <c r="AI692" s="47" t="str">
        <f>IF($A692="", "", IFERROR(($I692 * Premissas!$B$5) + ($E692 * ($I692/$B692) * Premissas!$B$4 * 12), 0))</f>
        <v/>
      </c>
      <c r="AJ692" s="47" t="str">
        <f>IF($A692="", "", $AI692 * Premissas!$B$12)</f>
        <v/>
      </c>
      <c r="AK692" s="47" t="str">
        <f t="shared" si="13"/>
        <v/>
      </c>
      <c r="AL692" s="47"/>
      <c r="AM692" s="47"/>
    </row>
    <row r="693" ht="15.75" customHeight="1">
      <c r="K693" s="47" t="str">
        <f>IF($A693="", "", IFERROR($E693 * ($I693/$B693) * Premissas!$B$6, 0))</f>
        <v/>
      </c>
      <c r="L693" s="47" t="str">
        <f>IF($A693="", "", IFERROR(($E693 * Premissas!$B$4 * ($I693/$B693) + $E692 * Premissas!$B$5 * ($I692/$B692)) * Premissas!$B$7, 0))</f>
        <v/>
      </c>
      <c r="AI693" s="47" t="str">
        <f>IF($A693="", "", IFERROR(($I693 * Premissas!$B$5) + ($E693 * ($I693/$B693) * Premissas!$B$4 * 12), 0))</f>
        <v/>
      </c>
      <c r="AJ693" s="47" t="str">
        <f>IF($A693="", "", $AI693 * Premissas!$B$12)</f>
        <v/>
      </c>
      <c r="AK693" s="47" t="str">
        <f t="shared" si="13"/>
        <v/>
      </c>
      <c r="AL693" s="47"/>
      <c r="AM693" s="47"/>
    </row>
    <row r="694" ht="15.75" customHeight="1">
      <c r="K694" s="47" t="str">
        <f>IF($A694="", "", IFERROR($E694 * ($I694/$B694) * Premissas!$B$6, 0))</f>
        <v/>
      </c>
      <c r="L694" s="47" t="str">
        <f>IF($A694="", "", IFERROR(($E694 * Premissas!$B$4 * ($I694/$B694) + $E693 * Premissas!$B$5 * ($I693/$B693)) * Premissas!$B$7, 0))</f>
        <v/>
      </c>
      <c r="AI694" s="47" t="str">
        <f>IF($A694="", "", IFERROR(($I694 * Premissas!$B$5) + ($E694 * ($I694/$B694) * Premissas!$B$4 * 12), 0))</f>
        <v/>
      </c>
      <c r="AJ694" s="47" t="str">
        <f>IF($A694="", "", $AI694 * Premissas!$B$12)</f>
        <v/>
      </c>
      <c r="AK694" s="47" t="str">
        <f t="shared" si="13"/>
        <v/>
      </c>
      <c r="AL694" s="47"/>
      <c r="AM694" s="47"/>
    </row>
    <row r="695" ht="15.75" customHeight="1">
      <c r="K695" s="47" t="str">
        <f>IF($A695="", "", IFERROR($E695 * ($I695/$B695) * Premissas!$B$6, 0))</f>
        <v/>
      </c>
      <c r="L695" s="47" t="str">
        <f>IF($A695="", "", IFERROR(($E695 * Premissas!$B$4 * ($I695/$B695) + $E694 * Premissas!$B$5 * ($I694/$B694)) * Premissas!$B$7, 0))</f>
        <v/>
      </c>
      <c r="AI695" s="47" t="str">
        <f>IF($A695="", "", IFERROR(($I695 * Premissas!$B$5) + ($E695 * ($I695/$B695) * Premissas!$B$4 * 12), 0))</f>
        <v/>
      </c>
      <c r="AJ695" s="47" t="str">
        <f>IF($A695="", "", $AI695 * Premissas!$B$12)</f>
        <v/>
      </c>
      <c r="AK695" s="47" t="str">
        <f t="shared" si="13"/>
        <v/>
      </c>
      <c r="AL695" s="47"/>
      <c r="AM695" s="47"/>
    </row>
    <row r="696" ht="15.75" customHeight="1">
      <c r="K696" s="47" t="str">
        <f>IF($A696="", "", IFERROR($E696 * ($I696/$B696) * Premissas!$B$6, 0))</f>
        <v/>
      </c>
      <c r="L696" s="47" t="str">
        <f>IF($A696="", "", IFERROR(($E696 * Premissas!$B$4 * ($I696/$B696) + $E695 * Premissas!$B$5 * ($I695/$B695)) * Premissas!$B$7, 0))</f>
        <v/>
      </c>
      <c r="AI696" s="47" t="str">
        <f>IF($A696="", "", IFERROR(($I696 * Premissas!$B$5) + ($E696 * ($I696/$B696) * Premissas!$B$4 * 12), 0))</f>
        <v/>
      </c>
      <c r="AJ696" s="47" t="str">
        <f>IF($A696="", "", $AI696 * Premissas!$B$12)</f>
        <v/>
      </c>
      <c r="AK696" s="47" t="str">
        <f t="shared" si="13"/>
        <v/>
      </c>
      <c r="AL696" s="47"/>
      <c r="AM696" s="47"/>
    </row>
    <row r="697" ht="15.75" customHeight="1">
      <c r="K697" s="47" t="str">
        <f>IF($A697="", "", IFERROR($E697 * ($I697/$B697) * Premissas!$B$6, 0))</f>
        <v/>
      </c>
      <c r="L697" s="47" t="str">
        <f>IF($A697="", "", IFERROR(($E697 * Premissas!$B$4 * ($I697/$B697) + $E696 * Premissas!$B$5 * ($I696/$B696)) * Premissas!$B$7, 0))</f>
        <v/>
      </c>
      <c r="AI697" s="47" t="str">
        <f>IF($A697="", "", IFERROR(($I697 * Premissas!$B$5) + ($E697 * ($I697/$B697) * Premissas!$B$4 * 12), 0))</f>
        <v/>
      </c>
      <c r="AJ697" s="47" t="str">
        <f>IF($A697="", "", $AI697 * Premissas!$B$12)</f>
        <v/>
      </c>
      <c r="AK697" s="47" t="str">
        <f t="shared" si="13"/>
        <v/>
      </c>
      <c r="AL697" s="47"/>
      <c r="AM697" s="47"/>
    </row>
    <row r="698" ht="15.75" customHeight="1">
      <c r="K698" s="47" t="str">
        <f>IF($A698="", "", IFERROR($E698 * ($I698/$B698) * Premissas!$B$6, 0))</f>
        <v/>
      </c>
      <c r="L698" s="47" t="str">
        <f>IF($A698="", "", IFERROR(($E698 * Premissas!$B$4 * ($I698/$B698) + $E697 * Premissas!$B$5 * ($I697/$B697)) * Premissas!$B$7, 0))</f>
        <v/>
      </c>
      <c r="AI698" s="47" t="str">
        <f>IF($A698="", "", IFERROR(($I698 * Premissas!$B$5) + ($E698 * ($I698/$B698) * Premissas!$B$4 * 12), 0))</f>
        <v/>
      </c>
      <c r="AJ698" s="47" t="str">
        <f>IF($A698="", "", $AI698 * Premissas!$B$12)</f>
        <v/>
      </c>
      <c r="AK698" s="47" t="str">
        <f t="shared" si="13"/>
        <v/>
      </c>
      <c r="AL698" s="47"/>
      <c r="AM698" s="47"/>
    </row>
    <row r="699" ht="15.75" customHeight="1">
      <c r="K699" s="47" t="str">
        <f>IF($A699="", "", IFERROR($E699 * ($I699/$B699) * Premissas!$B$6, 0))</f>
        <v/>
      </c>
      <c r="L699" s="47" t="str">
        <f>IF($A699="", "", IFERROR(($E699 * Premissas!$B$4 * ($I699/$B699) + $E698 * Premissas!$B$5 * ($I698/$B698)) * Premissas!$B$7, 0))</f>
        <v/>
      </c>
      <c r="AI699" s="47" t="str">
        <f>IF($A699="", "", IFERROR(($I699 * Premissas!$B$5) + ($E699 * ($I699/$B699) * Premissas!$B$4 * 12), 0))</f>
        <v/>
      </c>
      <c r="AJ699" s="47" t="str">
        <f>IF($A699="", "", $AI699 * Premissas!$B$12)</f>
        <v/>
      </c>
      <c r="AK699" s="47" t="str">
        <f t="shared" si="13"/>
        <v/>
      </c>
      <c r="AL699" s="47"/>
      <c r="AM699" s="47"/>
    </row>
    <row r="700" ht="15.75" customHeight="1">
      <c r="K700" s="47" t="str">
        <f>IF($A700="", "", IFERROR($E700 * ($I700/$B700) * Premissas!$B$6, 0))</f>
        <v/>
      </c>
      <c r="L700" s="47" t="str">
        <f>IF($A700="", "", IFERROR(($E700 * Premissas!$B$4 * ($I700/$B700) + $E699 * Premissas!$B$5 * ($I699/$B699)) * Premissas!$B$7, 0))</f>
        <v/>
      </c>
      <c r="AI700" s="47" t="str">
        <f>IF($A700="", "", IFERROR(($I700 * Premissas!$B$5) + ($E700 * ($I700/$B700) * Premissas!$B$4 * 12), 0))</f>
        <v/>
      </c>
      <c r="AJ700" s="47" t="str">
        <f>IF($A700="", "", $AI700 * Premissas!$B$12)</f>
        <v/>
      </c>
      <c r="AK700" s="47" t="str">
        <f t="shared" si="13"/>
        <v/>
      </c>
      <c r="AL700" s="47"/>
      <c r="AM700" s="47"/>
    </row>
    <row r="701" ht="15.75" customHeight="1">
      <c r="K701" s="47" t="str">
        <f>IF($A701="", "", IFERROR($E701 * ($I701/$B701) * Premissas!$B$6, 0))</f>
        <v/>
      </c>
      <c r="L701" s="47" t="str">
        <f>IF($A701="", "", IFERROR(($E701 * Premissas!$B$4 * ($I701/$B701) + $E700 * Premissas!$B$5 * ($I700/$B700)) * Premissas!$B$7, 0))</f>
        <v/>
      </c>
      <c r="AI701" s="47" t="str">
        <f>IF($A701="", "", IFERROR(($I701 * Premissas!$B$5) + ($E701 * ($I701/$B701) * Premissas!$B$4 * 12), 0))</f>
        <v/>
      </c>
      <c r="AJ701" s="47" t="str">
        <f>IF($A701="", "", $AI701 * Premissas!$B$12)</f>
        <v/>
      </c>
      <c r="AK701" s="47" t="str">
        <f t="shared" si="13"/>
        <v/>
      </c>
      <c r="AL701" s="47"/>
      <c r="AM701" s="47"/>
    </row>
    <row r="702" ht="15.75" customHeight="1">
      <c r="K702" s="47" t="str">
        <f>IF($A702="", "", IFERROR($E702 * ($I702/$B702) * Premissas!$B$6, 0))</f>
        <v/>
      </c>
      <c r="L702" s="47" t="str">
        <f>IF($A702="", "", IFERROR(($E702 * Premissas!$B$4 * ($I702/$B702) + $E701 * Premissas!$B$5 * ($I701/$B701)) * Premissas!$B$7, 0))</f>
        <v/>
      </c>
      <c r="AI702" s="47" t="str">
        <f>IF($A702="", "", IFERROR(($I702 * Premissas!$B$5) + ($E702 * ($I702/$B702) * Premissas!$B$4 * 12), 0))</f>
        <v/>
      </c>
      <c r="AJ702" s="47" t="str">
        <f>IF($A702="", "", $AI702 * Premissas!$B$12)</f>
        <v/>
      </c>
      <c r="AK702" s="47" t="str">
        <f t="shared" si="13"/>
        <v/>
      </c>
      <c r="AL702" s="47"/>
      <c r="AM702" s="47"/>
    </row>
    <row r="703" ht="15.75" customHeight="1">
      <c r="K703" s="47" t="str">
        <f>IF($A703="", "", IFERROR($E703 * ($I703/$B703) * Premissas!$B$6, 0))</f>
        <v/>
      </c>
      <c r="L703" s="47" t="str">
        <f>IF($A703="", "", IFERROR(($E703 * Premissas!$B$4 * ($I703/$B703) + $E702 * Premissas!$B$5 * ($I702/$B702)) * Premissas!$B$7, 0))</f>
        <v/>
      </c>
      <c r="AI703" s="47" t="str">
        <f>IF($A703="", "", IFERROR(($I703 * Premissas!$B$5) + ($E703 * ($I703/$B703) * Premissas!$B$4 * 12), 0))</f>
        <v/>
      </c>
      <c r="AJ703" s="47" t="str">
        <f>IF($A703="", "", $AI703 * Premissas!$B$12)</f>
        <v/>
      </c>
      <c r="AK703" s="47" t="str">
        <f t="shared" si="13"/>
        <v/>
      </c>
      <c r="AL703" s="47"/>
      <c r="AM703" s="47"/>
    </row>
    <row r="704" ht="15.75" customHeight="1">
      <c r="K704" s="47" t="str">
        <f>IF($A704="", "", IFERROR($E704 * ($I704/$B704) * Premissas!$B$6, 0))</f>
        <v/>
      </c>
      <c r="L704" s="47" t="str">
        <f>IF($A704="", "", IFERROR(($E704 * Premissas!$B$4 * ($I704/$B704) + $E703 * Premissas!$B$5 * ($I703/$B703)) * Premissas!$B$7, 0))</f>
        <v/>
      </c>
      <c r="AI704" s="47" t="str">
        <f>IF($A704="", "", IFERROR(($I704 * Premissas!$B$5) + ($E704 * ($I704/$B704) * Premissas!$B$4 * 12), 0))</f>
        <v/>
      </c>
      <c r="AJ704" s="47" t="str">
        <f>IF($A704="", "", $AI704 * Premissas!$B$12)</f>
        <v/>
      </c>
      <c r="AK704" s="47" t="str">
        <f t="shared" si="13"/>
        <v/>
      </c>
      <c r="AL704" s="47"/>
      <c r="AM704" s="47"/>
    </row>
    <row r="705" ht="15.75" customHeight="1">
      <c r="K705" s="47" t="str">
        <f>IF($A705="", "", IFERROR($E705 * ($I705/$B705) * Premissas!$B$6, 0))</f>
        <v/>
      </c>
      <c r="L705" s="47" t="str">
        <f>IF($A705="", "", IFERROR(($E705 * Premissas!$B$4 * ($I705/$B705) + $E704 * Premissas!$B$5 * ($I704/$B704)) * Premissas!$B$7, 0))</f>
        <v/>
      </c>
      <c r="AI705" s="47" t="str">
        <f>IF($A705="", "", IFERROR(($I705 * Premissas!$B$5) + ($E705 * ($I705/$B705) * Premissas!$B$4 * 12), 0))</f>
        <v/>
      </c>
      <c r="AJ705" s="47" t="str">
        <f>IF($A705="", "", $AI705 * Premissas!$B$12)</f>
        <v/>
      </c>
      <c r="AK705" s="47" t="str">
        <f t="shared" si="13"/>
        <v/>
      </c>
      <c r="AL705" s="47"/>
      <c r="AM705" s="47"/>
    </row>
    <row r="706" ht="15.75" customHeight="1">
      <c r="K706" s="47" t="str">
        <f>IF($A706="", "", IFERROR($E706 * ($I706/$B706) * Premissas!$B$6, 0))</f>
        <v/>
      </c>
      <c r="L706" s="47" t="str">
        <f>IF($A706="", "", IFERROR(($E706 * Premissas!$B$4 * ($I706/$B706) + $E705 * Premissas!$B$5 * ($I705/$B705)) * Premissas!$B$7, 0))</f>
        <v/>
      </c>
      <c r="AI706" s="47" t="str">
        <f>IF($A706="", "", IFERROR(($I706 * Premissas!$B$5) + ($E706 * ($I706/$B706) * Premissas!$B$4 * 12), 0))</f>
        <v/>
      </c>
      <c r="AJ706" s="47" t="str">
        <f>IF($A706="", "", $AI706 * Premissas!$B$12)</f>
        <v/>
      </c>
      <c r="AK706" s="47" t="str">
        <f t="shared" si="13"/>
        <v/>
      </c>
      <c r="AL706" s="47"/>
      <c r="AM706" s="47"/>
    </row>
    <row r="707" ht="15.75" customHeight="1">
      <c r="K707" s="47" t="str">
        <f>IF($A707="", "", IFERROR($E707 * ($I707/$B707) * Premissas!$B$6, 0))</f>
        <v/>
      </c>
      <c r="L707" s="47" t="str">
        <f>IF($A707="", "", IFERROR(($E707 * Premissas!$B$4 * ($I707/$B707) + $E706 * Premissas!$B$5 * ($I706/$B706)) * Premissas!$B$7, 0))</f>
        <v/>
      </c>
      <c r="AI707" s="47" t="str">
        <f>IF($A707="", "", IFERROR(($I707 * Premissas!$B$5) + ($E707 * ($I707/$B707) * Premissas!$B$4 * 12), 0))</f>
        <v/>
      </c>
      <c r="AJ707" s="47" t="str">
        <f>IF($A707="", "", $AI707 * Premissas!$B$12)</f>
        <v/>
      </c>
      <c r="AK707" s="47" t="str">
        <f t="shared" si="13"/>
        <v/>
      </c>
      <c r="AL707" s="47"/>
      <c r="AM707" s="47"/>
    </row>
    <row r="708" ht="15.75" customHeight="1">
      <c r="K708" s="47" t="str">
        <f>IF($A708="", "", IFERROR($E708 * ($I708/$B708) * Premissas!$B$6, 0))</f>
        <v/>
      </c>
      <c r="L708" s="47" t="str">
        <f>IF($A708="", "", IFERROR(($E708 * Premissas!$B$4 * ($I708/$B708) + $E707 * Premissas!$B$5 * ($I707/$B707)) * Premissas!$B$7, 0))</f>
        <v/>
      </c>
      <c r="AI708" s="47" t="str">
        <f>IF($A708="", "", IFERROR(($I708 * Premissas!$B$5) + ($E708 * ($I708/$B708) * Premissas!$B$4 * 12), 0))</f>
        <v/>
      </c>
      <c r="AJ708" s="47" t="str">
        <f>IF($A708="", "", $AI708 * Premissas!$B$12)</f>
        <v/>
      </c>
      <c r="AK708" s="47" t="str">
        <f t="shared" si="13"/>
        <v/>
      </c>
      <c r="AL708" s="47"/>
      <c r="AM708" s="47"/>
    </row>
    <row r="709" ht="15.75" customHeight="1">
      <c r="K709" s="47" t="str">
        <f>IF($A709="", "", IFERROR($E709 * ($I709/$B709) * Premissas!$B$6, 0))</f>
        <v/>
      </c>
      <c r="L709" s="47" t="str">
        <f>IF($A709="", "", IFERROR(($E709 * Premissas!$B$4 * ($I709/$B709) + $E708 * Premissas!$B$5 * ($I708/$B708)) * Premissas!$B$7, 0))</f>
        <v/>
      </c>
      <c r="AI709" s="47" t="str">
        <f>IF($A709="", "", IFERROR(($I709 * Premissas!$B$5) + ($E709 * ($I709/$B709) * Premissas!$B$4 * 12), 0))</f>
        <v/>
      </c>
      <c r="AJ709" s="47" t="str">
        <f>IF($A709="", "", $AI709 * Premissas!$B$12)</f>
        <v/>
      </c>
      <c r="AK709" s="47" t="str">
        <f t="shared" si="13"/>
        <v/>
      </c>
      <c r="AL709" s="47"/>
      <c r="AM709" s="47"/>
    </row>
    <row r="710" ht="15.75" customHeight="1">
      <c r="K710" s="47" t="str">
        <f>IF($A710="", "", IFERROR($E710 * ($I710/$B710) * Premissas!$B$6, 0))</f>
        <v/>
      </c>
      <c r="L710" s="47" t="str">
        <f>IF($A710="", "", IFERROR(($E710 * Premissas!$B$4 * ($I710/$B710) + $E709 * Premissas!$B$5 * ($I709/$B709)) * Premissas!$B$7, 0))</f>
        <v/>
      </c>
      <c r="AI710" s="47" t="str">
        <f>IF($A710="", "", IFERROR(($I710 * Premissas!$B$5) + ($E710 * ($I710/$B710) * Premissas!$B$4 * 12), 0))</f>
        <v/>
      </c>
      <c r="AJ710" s="47" t="str">
        <f>IF($A710="", "", $AI710 * Premissas!$B$12)</f>
        <v/>
      </c>
      <c r="AK710" s="47" t="str">
        <f t="shared" si="13"/>
        <v/>
      </c>
      <c r="AL710" s="47"/>
      <c r="AM710" s="47"/>
    </row>
    <row r="711" ht="15.75" customHeight="1">
      <c r="K711" s="47" t="str">
        <f>IF($A711="", "", IFERROR($E711 * ($I711/$B711) * Premissas!$B$6, 0))</f>
        <v/>
      </c>
      <c r="L711" s="47" t="str">
        <f>IF($A711="", "", IFERROR(($E711 * Premissas!$B$4 * ($I711/$B711) + $E710 * Premissas!$B$5 * ($I710/$B710)) * Premissas!$B$7, 0))</f>
        <v/>
      </c>
      <c r="AI711" s="47" t="str">
        <f>IF($A711="", "", IFERROR(($I711 * Premissas!$B$5) + ($E711 * ($I711/$B711) * Premissas!$B$4 * 12), 0))</f>
        <v/>
      </c>
      <c r="AJ711" s="47" t="str">
        <f>IF($A711="", "", $AI711 * Premissas!$B$12)</f>
        <v/>
      </c>
      <c r="AK711" s="47" t="str">
        <f t="shared" si="13"/>
        <v/>
      </c>
      <c r="AL711" s="47"/>
      <c r="AM711" s="47"/>
    </row>
    <row r="712" ht="15.75" customHeight="1">
      <c r="K712" s="47" t="str">
        <f>IF($A712="", "", IFERROR($E712 * ($I712/$B712) * Premissas!$B$6, 0))</f>
        <v/>
      </c>
      <c r="L712" s="47" t="str">
        <f>IF($A712="", "", IFERROR(($E712 * Premissas!$B$4 * ($I712/$B712) + $E711 * Premissas!$B$5 * ($I711/$B711)) * Premissas!$B$7, 0))</f>
        <v/>
      </c>
      <c r="AI712" s="47" t="str">
        <f>IF($A712="", "", IFERROR(($I712 * Premissas!$B$5) + ($E712 * ($I712/$B712) * Premissas!$B$4 * 12), 0))</f>
        <v/>
      </c>
      <c r="AJ712" s="47" t="str">
        <f>IF($A712="", "", $AI712 * Premissas!$B$12)</f>
        <v/>
      </c>
      <c r="AK712" s="47" t="str">
        <f t="shared" si="13"/>
        <v/>
      </c>
      <c r="AL712" s="47"/>
      <c r="AM712" s="47"/>
    </row>
    <row r="713" ht="15.75" customHeight="1">
      <c r="K713" s="47" t="str">
        <f>IF($A713="", "", IFERROR($E713 * ($I713/$B713) * Premissas!$B$6, 0))</f>
        <v/>
      </c>
      <c r="L713" s="47" t="str">
        <f>IF($A713="", "", IFERROR(($E713 * Premissas!$B$4 * ($I713/$B713) + $E712 * Premissas!$B$5 * ($I712/$B712)) * Premissas!$B$7, 0))</f>
        <v/>
      </c>
      <c r="AI713" s="47" t="str">
        <f>IF($A713="", "", IFERROR(($I713 * Premissas!$B$5) + ($E713 * ($I713/$B713) * Premissas!$B$4 * 12), 0))</f>
        <v/>
      </c>
      <c r="AJ713" s="47" t="str">
        <f>IF($A713="", "", $AI713 * Premissas!$B$12)</f>
        <v/>
      </c>
      <c r="AK713" s="47" t="str">
        <f t="shared" si="13"/>
        <v/>
      </c>
      <c r="AL713" s="47"/>
      <c r="AM713" s="47"/>
    </row>
    <row r="714" ht="15.75" customHeight="1">
      <c r="K714" s="47" t="str">
        <f>IF($A714="", "", IFERROR($E714 * ($I714/$B714) * Premissas!$B$6, 0))</f>
        <v/>
      </c>
      <c r="L714" s="47" t="str">
        <f>IF($A714="", "", IFERROR(($E714 * Premissas!$B$4 * ($I714/$B714) + $E713 * Premissas!$B$5 * ($I713/$B713)) * Premissas!$B$7, 0))</f>
        <v/>
      </c>
      <c r="AI714" s="47" t="str">
        <f>IF($A714="", "", IFERROR(($I714 * Premissas!$B$5) + ($E714 * ($I714/$B714) * Premissas!$B$4 * 12), 0))</f>
        <v/>
      </c>
      <c r="AJ714" s="47" t="str">
        <f>IF($A714="", "", $AI714 * Premissas!$B$12)</f>
        <v/>
      </c>
      <c r="AK714" s="47" t="str">
        <f t="shared" si="13"/>
        <v/>
      </c>
      <c r="AL714" s="47"/>
      <c r="AM714" s="47"/>
    </row>
    <row r="715" ht="15.75" customHeight="1">
      <c r="K715" s="47" t="str">
        <f>IF($A715="", "", IFERROR($E715 * ($I715/$B715) * Premissas!$B$6, 0))</f>
        <v/>
      </c>
      <c r="L715" s="47" t="str">
        <f>IF($A715="", "", IFERROR(($E715 * Premissas!$B$4 * ($I715/$B715) + $E714 * Premissas!$B$5 * ($I714/$B714)) * Premissas!$B$7, 0))</f>
        <v/>
      </c>
      <c r="AI715" s="47" t="str">
        <f>IF($A715="", "", IFERROR(($I715 * Premissas!$B$5) + ($E715 * ($I715/$B715) * Premissas!$B$4 * 12), 0))</f>
        <v/>
      </c>
      <c r="AJ715" s="47" t="str">
        <f>IF($A715="", "", $AI715 * Premissas!$B$12)</f>
        <v/>
      </c>
      <c r="AK715" s="47" t="str">
        <f t="shared" si="13"/>
        <v/>
      </c>
      <c r="AL715" s="47"/>
      <c r="AM715" s="47"/>
    </row>
    <row r="716" ht="15.75" customHeight="1">
      <c r="K716" s="47" t="str">
        <f>IF($A716="", "", IFERROR($E716 * ($I716/$B716) * Premissas!$B$6, 0))</f>
        <v/>
      </c>
      <c r="L716" s="47" t="str">
        <f>IF($A716="", "", IFERROR(($E716 * Premissas!$B$4 * ($I716/$B716) + $E715 * Premissas!$B$5 * ($I715/$B715)) * Premissas!$B$7, 0))</f>
        <v/>
      </c>
      <c r="AI716" s="47" t="str">
        <f>IF($A716="", "", IFERROR(($I716 * Premissas!$B$5) + ($E716 * ($I716/$B716) * Premissas!$B$4 * 12), 0))</f>
        <v/>
      </c>
      <c r="AJ716" s="47" t="str">
        <f>IF($A716="", "", $AI716 * Premissas!$B$12)</f>
        <v/>
      </c>
      <c r="AK716" s="47" t="str">
        <f t="shared" si="13"/>
        <v/>
      </c>
      <c r="AL716" s="47"/>
      <c r="AM716" s="47"/>
    </row>
    <row r="717" ht="15.75" customHeight="1">
      <c r="K717" s="47" t="str">
        <f>IF($A717="", "", IFERROR($E717 * ($I717/$B717) * Premissas!$B$6, 0))</f>
        <v/>
      </c>
      <c r="L717" s="47" t="str">
        <f>IF($A717="", "", IFERROR(($E717 * Premissas!$B$4 * ($I717/$B717) + $E716 * Premissas!$B$5 * ($I716/$B716)) * Premissas!$B$7, 0))</f>
        <v/>
      </c>
      <c r="AI717" s="47" t="str">
        <f>IF($A717="", "", IFERROR(($I717 * Premissas!$B$5) + ($E717 * ($I717/$B717) * Premissas!$B$4 * 12), 0))</f>
        <v/>
      </c>
      <c r="AJ717" s="47" t="str">
        <f>IF($A717="", "", $AI717 * Premissas!$B$12)</f>
        <v/>
      </c>
      <c r="AK717" s="47" t="str">
        <f t="shared" si="13"/>
        <v/>
      </c>
      <c r="AL717" s="47"/>
      <c r="AM717" s="47"/>
    </row>
    <row r="718" ht="15.75" customHeight="1">
      <c r="K718" s="47" t="str">
        <f>IF($A718="", "", IFERROR($E718 * ($I718/$B718) * Premissas!$B$6, 0))</f>
        <v/>
      </c>
      <c r="L718" s="47" t="str">
        <f>IF($A718="", "", IFERROR(($E718 * Premissas!$B$4 * ($I718/$B718) + $E717 * Premissas!$B$5 * ($I717/$B717)) * Premissas!$B$7, 0))</f>
        <v/>
      </c>
      <c r="AI718" s="47" t="str">
        <f>IF($A718="", "", IFERROR(($I718 * Premissas!$B$5) + ($E718 * ($I718/$B718) * Premissas!$B$4 * 12), 0))</f>
        <v/>
      </c>
      <c r="AJ718" s="47" t="str">
        <f>IF($A718="", "", $AI718 * Premissas!$B$12)</f>
        <v/>
      </c>
      <c r="AK718" s="47" t="str">
        <f t="shared" si="13"/>
        <v/>
      </c>
      <c r="AL718" s="47"/>
      <c r="AM718" s="47"/>
    </row>
    <row r="719" ht="15.75" customHeight="1">
      <c r="K719" s="47" t="str">
        <f>IF($A719="", "", IFERROR($E719 * ($I719/$B719) * Premissas!$B$6, 0))</f>
        <v/>
      </c>
      <c r="L719" s="47" t="str">
        <f>IF($A719="", "", IFERROR(($E719 * Premissas!$B$4 * ($I719/$B719) + $E718 * Premissas!$B$5 * ($I718/$B718)) * Premissas!$B$7, 0))</f>
        <v/>
      </c>
      <c r="AI719" s="47" t="str">
        <f>IF($A719="", "", IFERROR(($I719 * Premissas!$B$5) + ($E719 * ($I719/$B719) * Premissas!$B$4 * 12), 0))</f>
        <v/>
      </c>
      <c r="AJ719" s="47" t="str">
        <f>IF($A719="", "", $AI719 * Premissas!$B$12)</f>
        <v/>
      </c>
      <c r="AK719" s="47" t="str">
        <f t="shared" si="13"/>
        <v/>
      </c>
      <c r="AL719" s="47"/>
      <c r="AM719" s="47"/>
    </row>
    <row r="720" ht="15.75" customHeight="1">
      <c r="K720" s="47" t="str">
        <f>IF($A720="", "", IFERROR($E720 * ($I720/$B720) * Premissas!$B$6, 0))</f>
        <v/>
      </c>
      <c r="L720" s="47" t="str">
        <f>IF($A720="", "", IFERROR(($E720 * Premissas!$B$4 * ($I720/$B720) + $E719 * Premissas!$B$5 * ($I719/$B719)) * Premissas!$B$7, 0))</f>
        <v/>
      </c>
      <c r="AI720" s="47" t="str">
        <f>IF($A720="", "", IFERROR(($I720 * Premissas!$B$5) + ($E720 * ($I720/$B720) * Premissas!$B$4 * 12), 0))</f>
        <v/>
      </c>
      <c r="AJ720" s="47" t="str">
        <f>IF($A720="", "", $AI720 * Premissas!$B$12)</f>
        <v/>
      </c>
      <c r="AK720" s="47" t="str">
        <f t="shared" si="13"/>
        <v/>
      </c>
      <c r="AL720" s="47"/>
      <c r="AM720" s="47"/>
    </row>
    <row r="721" ht="15.75" customHeight="1">
      <c r="K721" s="47" t="str">
        <f>IF($A721="", "", IFERROR($E721 * ($I721/$B721) * Premissas!$B$6, 0))</f>
        <v/>
      </c>
      <c r="L721" s="47" t="str">
        <f>IF($A721="", "", IFERROR(($E721 * Premissas!$B$4 * ($I721/$B721) + $E720 * Premissas!$B$5 * ($I720/$B720)) * Premissas!$B$7, 0))</f>
        <v/>
      </c>
      <c r="AI721" s="47" t="str">
        <f>IF($A721="", "", IFERROR(($I721 * Premissas!$B$5) + ($E721 * ($I721/$B721) * Premissas!$B$4 * 12), 0))</f>
        <v/>
      </c>
      <c r="AJ721" s="47" t="str">
        <f>IF($A721="", "", $AI721 * Premissas!$B$12)</f>
        <v/>
      </c>
      <c r="AK721" s="47" t="str">
        <f t="shared" si="13"/>
        <v/>
      </c>
      <c r="AL721" s="47"/>
      <c r="AM721" s="47"/>
    </row>
    <row r="722" ht="15.75" customHeight="1">
      <c r="K722" s="47" t="str">
        <f>IF($A722="", "", IFERROR($E722 * ($I722/$B722) * Premissas!$B$6, 0))</f>
        <v/>
      </c>
      <c r="L722" s="47" t="str">
        <f>IF($A722="", "", IFERROR(($E722 * Premissas!$B$4 * ($I722/$B722) + $E721 * Premissas!$B$5 * ($I721/$B721)) * Premissas!$B$7, 0))</f>
        <v/>
      </c>
      <c r="AI722" s="47" t="str">
        <f>IF($A722="", "", IFERROR(($I722 * Premissas!$B$5) + ($E722 * ($I722/$B722) * Premissas!$B$4 * 12), 0))</f>
        <v/>
      </c>
      <c r="AJ722" s="47" t="str">
        <f>IF($A722="", "", $AI722 * Premissas!$B$12)</f>
        <v/>
      </c>
      <c r="AK722" s="47" t="str">
        <f t="shared" si="13"/>
        <v/>
      </c>
      <c r="AL722" s="47"/>
      <c r="AM722" s="47"/>
    </row>
    <row r="723" ht="15.75" customHeight="1">
      <c r="K723" s="47" t="str">
        <f>IF($A723="", "", IFERROR($E723 * ($I723/$B723) * Premissas!$B$6, 0))</f>
        <v/>
      </c>
      <c r="L723" s="47" t="str">
        <f>IF($A723="", "", IFERROR(($E723 * Premissas!$B$4 * ($I723/$B723) + $E722 * Premissas!$B$5 * ($I722/$B722)) * Premissas!$B$7, 0))</f>
        <v/>
      </c>
      <c r="AI723" s="47" t="str">
        <f>IF($A723="", "", IFERROR(($I723 * Premissas!$B$5) + ($E723 * ($I723/$B723) * Premissas!$B$4 * 12), 0))</f>
        <v/>
      </c>
      <c r="AJ723" s="47" t="str">
        <f>IF($A723="", "", $AI723 * Premissas!$B$12)</f>
        <v/>
      </c>
      <c r="AK723" s="47" t="str">
        <f t="shared" si="13"/>
        <v/>
      </c>
      <c r="AL723" s="47"/>
      <c r="AM723" s="47"/>
    </row>
    <row r="724" ht="15.75" customHeight="1">
      <c r="K724" s="47" t="str">
        <f>IF($A724="", "", IFERROR($E724 * ($I724/$B724) * Premissas!$B$6, 0))</f>
        <v/>
      </c>
      <c r="L724" s="47" t="str">
        <f>IF($A724="", "", IFERROR(($E724 * Premissas!$B$4 * ($I724/$B724) + $E723 * Premissas!$B$5 * ($I723/$B723)) * Premissas!$B$7, 0))</f>
        <v/>
      </c>
      <c r="AI724" s="47" t="str">
        <f>IF($A724="", "", IFERROR(($I724 * Premissas!$B$5) + ($E724 * ($I724/$B724) * Premissas!$B$4 * 12), 0))</f>
        <v/>
      </c>
      <c r="AJ724" s="47" t="str">
        <f>IF($A724="", "", $AI724 * Premissas!$B$12)</f>
        <v/>
      </c>
      <c r="AK724" s="47" t="str">
        <f t="shared" si="13"/>
        <v/>
      </c>
      <c r="AL724" s="47"/>
      <c r="AM724" s="47"/>
    </row>
    <row r="725" ht="15.75" customHeight="1">
      <c r="K725" s="47" t="str">
        <f>IF($A725="", "", IFERROR($E725 * ($I725/$B725) * Premissas!$B$6, 0))</f>
        <v/>
      </c>
      <c r="L725" s="47" t="str">
        <f>IF($A725="", "", IFERROR(($E725 * Premissas!$B$4 * ($I725/$B725) + $E724 * Premissas!$B$5 * ($I724/$B724)) * Premissas!$B$7, 0))</f>
        <v/>
      </c>
      <c r="AI725" s="47" t="str">
        <f>IF($A725="", "", IFERROR(($I725 * Premissas!$B$5) + ($E725 * ($I725/$B725) * Premissas!$B$4 * 12), 0))</f>
        <v/>
      </c>
      <c r="AJ725" s="47" t="str">
        <f>IF($A725="", "", $AI725 * Premissas!$B$12)</f>
        <v/>
      </c>
      <c r="AK725" s="47" t="str">
        <f t="shared" si="13"/>
        <v/>
      </c>
      <c r="AL725" s="47"/>
      <c r="AM725" s="47"/>
    </row>
    <row r="726" ht="15.75" customHeight="1">
      <c r="K726" s="47" t="str">
        <f>IF($A726="", "", IFERROR($E726 * ($I726/$B726) * Premissas!$B$6, 0))</f>
        <v/>
      </c>
      <c r="L726" s="47" t="str">
        <f>IF($A726="", "", IFERROR(($E726 * Premissas!$B$4 * ($I726/$B726) + $E725 * Premissas!$B$5 * ($I725/$B725)) * Premissas!$B$7, 0))</f>
        <v/>
      </c>
      <c r="AI726" s="47" t="str">
        <f>IF($A726="", "", IFERROR(($I726 * Premissas!$B$5) + ($E726 * ($I726/$B726) * Premissas!$B$4 * 12), 0))</f>
        <v/>
      </c>
      <c r="AJ726" s="47" t="str">
        <f>IF($A726="", "", $AI726 * Premissas!$B$12)</f>
        <v/>
      </c>
      <c r="AK726" s="47" t="str">
        <f t="shared" si="13"/>
        <v/>
      </c>
      <c r="AL726" s="47"/>
      <c r="AM726" s="47"/>
    </row>
    <row r="727" ht="15.75" customHeight="1">
      <c r="K727" s="47" t="str">
        <f>IF($A727="", "", IFERROR($E727 * ($I727/$B727) * Premissas!$B$6, 0))</f>
        <v/>
      </c>
      <c r="L727" s="47" t="str">
        <f>IF($A727="", "", IFERROR(($E727 * Premissas!$B$4 * ($I727/$B727) + $E726 * Premissas!$B$5 * ($I726/$B726)) * Premissas!$B$7, 0))</f>
        <v/>
      </c>
      <c r="AI727" s="47" t="str">
        <f>IF($A727="", "", IFERROR(($I727 * Premissas!$B$5) + ($E727 * ($I727/$B727) * Premissas!$B$4 * 12), 0))</f>
        <v/>
      </c>
      <c r="AJ727" s="47" t="str">
        <f>IF($A727="", "", $AI727 * Premissas!$B$12)</f>
        <v/>
      </c>
      <c r="AK727" s="47" t="str">
        <f t="shared" si="13"/>
        <v/>
      </c>
      <c r="AL727" s="47"/>
      <c r="AM727" s="47"/>
    </row>
    <row r="728" ht="15.75" customHeight="1">
      <c r="K728" s="47" t="str">
        <f>IF($A728="", "", IFERROR($E728 * ($I728/$B728) * Premissas!$B$6, 0))</f>
        <v/>
      </c>
      <c r="L728" s="47" t="str">
        <f>IF($A728="", "", IFERROR(($E728 * Premissas!$B$4 * ($I728/$B728) + $E727 * Premissas!$B$5 * ($I727/$B727)) * Premissas!$B$7, 0))</f>
        <v/>
      </c>
      <c r="AI728" s="47" t="str">
        <f>IF($A728="", "", IFERROR(($I728 * Premissas!$B$5) + ($E728 * ($I728/$B728) * Premissas!$B$4 * 12), 0))</f>
        <v/>
      </c>
      <c r="AJ728" s="47" t="str">
        <f>IF($A728="", "", $AI728 * Premissas!$B$12)</f>
        <v/>
      </c>
      <c r="AK728" s="47" t="str">
        <f t="shared" si="13"/>
        <v/>
      </c>
      <c r="AL728" s="47"/>
      <c r="AM728" s="47"/>
    </row>
    <row r="729" ht="15.75" customHeight="1">
      <c r="K729" s="47" t="str">
        <f>IF($A729="", "", IFERROR($E729 * ($I729/$B729) * Premissas!$B$6, 0))</f>
        <v/>
      </c>
      <c r="L729" s="47" t="str">
        <f>IF($A729="", "", IFERROR(($E729 * Premissas!$B$4 * ($I729/$B729) + $E728 * Premissas!$B$5 * ($I728/$B728)) * Premissas!$B$7, 0))</f>
        <v/>
      </c>
      <c r="AI729" s="47" t="str">
        <f>IF($A729="", "", IFERROR(($I729 * Premissas!$B$5) + ($E729 * ($I729/$B729) * Premissas!$B$4 * 12), 0))</f>
        <v/>
      </c>
      <c r="AJ729" s="47" t="str">
        <f>IF($A729="", "", $AI729 * Premissas!$B$12)</f>
        <v/>
      </c>
      <c r="AK729" s="47" t="str">
        <f t="shared" si="13"/>
        <v/>
      </c>
      <c r="AL729" s="47"/>
      <c r="AM729" s="47"/>
    </row>
    <row r="730" ht="15.75" customHeight="1">
      <c r="K730" s="47" t="str">
        <f>IF($A730="", "", IFERROR($E730 * ($I730/$B730) * Premissas!$B$6, 0))</f>
        <v/>
      </c>
      <c r="L730" s="47" t="str">
        <f>IF($A730="", "", IFERROR(($E730 * Premissas!$B$4 * ($I730/$B730) + $E729 * Premissas!$B$5 * ($I729/$B729)) * Premissas!$B$7, 0))</f>
        <v/>
      </c>
      <c r="AI730" s="47" t="str">
        <f>IF($A730="", "", IFERROR(($I730 * Premissas!$B$5) + ($E730 * ($I730/$B730) * Premissas!$B$4 * 12), 0))</f>
        <v/>
      </c>
      <c r="AJ730" s="47" t="str">
        <f>IF($A730="", "", $AI730 * Premissas!$B$12)</f>
        <v/>
      </c>
      <c r="AK730" s="47" t="str">
        <f t="shared" si="13"/>
        <v/>
      </c>
      <c r="AL730" s="47"/>
      <c r="AM730" s="47"/>
    </row>
    <row r="731" ht="15.75" customHeight="1">
      <c r="K731" s="47" t="str">
        <f>IF($A731="", "", IFERROR($E731 * ($I731/$B731) * Premissas!$B$6, 0))</f>
        <v/>
      </c>
      <c r="L731" s="47" t="str">
        <f>IF($A731="", "", IFERROR(($E731 * Premissas!$B$4 * ($I731/$B731) + $E730 * Premissas!$B$5 * ($I730/$B730)) * Premissas!$B$7, 0))</f>
        <v/>
      </c>
      <c r="AI731" s="47" t="str">
        <f>IF($A731="", "", IFERROR(($I731 * Premissas!$B$5) + ($E731 * ($I731/$B731) * Premissas!$B$4 * 12), 0))</f>
        <v/>
      </c>
      <c r="AJ731" s="47" t="str">
        <f>IF($A731="", "", $AI731 * Premissas!$B$12)</f>
        <v/>
      </c>
      <c r="AK731" s="47" t="str">
        <f t="shared" si="13"/>
        <v/>
      </c>
      <c r="AL731" s="47"/>
      <c r="AM731" s="47"/>
    </row>
    <row r="732" ht="15.75" customHeight="1">
      <c r="K732" s="47" t="str">
        <f>IF($A732="", "", IFERROR($E732 * ($I732/$B732) * Premissas!$B$6, 0))</f>
        <v/>
      </c>
      <c r="L732" s="47" t="str">
        <f>IF($A732="", "", IFERROR(($E732 * Premissas!$B$4 * ($I732/$B732) + $E731 * Premissas!$B$5 * ($I731/$B731)) * Premissas!$B$7, 0))</f>
        <v/>
      </c>
      <c r="AI732" s="47" t="str">
        <f>IF($A732="", "", IFERROR(($I732 * Premissas!$B$5) + ($E732 * ($I732/$B732) * Premissas!$B$4 * 12), 0))</f>
        <v/>
      </c>
      <c r="AJ732" s="47" t="str">
        <f>IF($A732="", "", $AI732 * Premissas!$B$12)</f>
        <v/>
      </c>
      <c r="AK732" s="47" t="str">
        <f t="shared" si="13"/>
        <v/>
      </c>
      <c r="AL732" s="47"/>
      <c r="AM732" s="47"/>
    </row>
    <row r="733" ht="15.75" customHeight="1">
      <c r="K733" s="47" t="str">
        <f>IF($A733="", "", IFERROR($E733 * ($I733/$B733) * Premissas!$B$6, 0))</f>
        <v/>
      </c>
      <c r="L733" s="47" t="str">
        <f>IF($A733="", "", IFERROR(($E733 * Premissas!$B$4 * ($I733/$B733) + $E732 * Premissas!$B$5 * ($I732/$B732)) * Premissas!$B$7, 0))</f>
        <v/>
      </c>
      <c r="AI733" s="47" t="str">
        <f>IF($A733="", "", IFERROR(($I733 * Premissas!$B$5) + ($E733 * ($I733/$B733) * Premissas!$B$4 * 12), 0))</f>
        <v/>
      </c>
      <c r="AJ733" s="47" t="str">
        <f>IF($A733="", "", $AI733 * Premissas!$B$12)</f>
        <v/>
      </c>
      <c r="AK733" s="47" t="str">
        <f t="shared" si="13"/>
        <v/>
      </c>
      <c r="AL733" s="47"/>
      <c r="AM733" s="47"/>
    </row>
    <row r="734" ht="15.75" customHeight="1">
      <c r="K734" s="47" t="str">
        <f>IF($A734="", "", IFERROR($E734 * ($I734/$B734) * Premissas!$B$6, 0))</f>
        <v/>
      </c>
      <c r="L734" s="47" t="str">
        <f>IF($A734="", "", IFERROR(($E734 * Premissas!$B$4 * ($I734/$B734) + $E733 * Premissas!$B$5 * ($I733/$B733)) * Premissas!$B$7, 0))</f>
        <v/>
      </c>
      <c r="AI734" s="47" t="str">
        <f>IF($A734="", "", IFERROR(($I734 * Premissas!$B$5) + ($E734 * ($I734/$B734) * Premissas!$B$4 * 12), 0))</f>
        <v/>
      </c>
      <c r="AJ734" s="47" t="str">
        <f>IF($A734="", "", $AI734 * Premissas!$B$12)</f>
        <v/>
      </c>
      <c r="AK734" s="47" t="str">
        <f t="shared" si="13"/>
        <v/>
      </c>
      <c r="AL734" s="47"/>
      <c r="AM734" s="47"/>
    </row>
    <row r="735" ht="15.75" customHeight="1">
      <c r="K735" s="47" t="str">
        <f>IF($A735="", "", IFERROR($E735 * ($I735/$B735) * Premissas!$B$6, 0))</f>
        <v/>
      </c>
      <c r="L735" s="47" t="str">
        <f>IF($A735="", "", IFERROR(($E735 * Premissas!$B$4 * ($I735/$B735) + $E734 * Premissas!$B$5 * ($I734/$B734)) * Premissas!$B$7, 0))</f>
        <v/>
      </c>
      <c r="AI735" s="47" t="str">
        <f>IF($A735="", "", IFERROR(($I735 * Premissas!$B$5) + ($E735 * ($I735/$B735) * Premissas!$B$4 * 12), 0))</f>
        <v/>
      </c>
      <c r="AJ735" s="47" t="str">
        <f>IF($A735="", "", $AI735 * Premissas!$B$12)</f>
        <v/>
      </c>
      <c r="AK735" s="47" t="str">
        <f t="shared" si="13"/>
        <v/>
      </c>
      <c r="AL735" s="47"/>
      <c r="AM735" s="47"/>
    </row>
    <row r="736" ht="15.75" customHeight="1">
      <c r="K736" s="47" t="str">
        <f>IF($A736="", "", IFERROR($E736 * ($I736/$B736) * Premissas!$B$6, 0))</f>
        <v/>
      </c>
      <c r="L736" s="47" t="str">
        <f>IF($A736="", "", IFERROR(($E736 * Premissas!$B$4 * ($I736/$B736) + $E735 * Premissas!$B$5 * ($I735/$B735)) * Premissas!$B$7, 0))</f>
        <v/>
      </c>
      <c r="AI736" s="47" t="str">
        <f>IF($A736="", "", IFERROR(($I736 * Premissas!$B$5) + ($E736 * ($I736/$B736) * Premissas!$B$4 * 12), 0))</f>
        <v/>
      </c>
      <c r="AJ736" s="47" t="str">
        <f>IF($A736="", "", $AI736 * Premissas!$B$12)</f>
        <v/>
      </c>
      <c r="AK736" s="47" t="str">
        <f t="shared" si="13"/>
        <v/>
      </c>
      <c r="AL736" s="47"/>
      <c r="AM736" s="47"/>
    </row>
    <row r="737" ht="15.75" customHeight="1">
      <c r="K737" s="47" t="str">
        <f>IF($A737="", "", IFERROR($E737 * ($I737/$B737) * Premissas!$B$6, 0))</f>
        <v/>
      </c>
      <c r="L737" s="47" t="str">
        <f>IF($A737="", "", IFERROR(($E737 * Premissas!$B$4 * ($I737/$B737) + $E736 * Premissas!$B$5 * ($I736/$B736)) * Premissas!$B$7, 0))</f>
        <v/>
      </c>
      <c r="AI737" s="47" t="str">
        <f>IF($A737="", "", IFERROR(($I737 * Premissas!$B$5) + ($E737 * ($I737/$B737) * Premissas!$B$4 * 12), 0))</f>
        <v/>
      </c>
      <c r="AJ737" s="47" t="str">
        <f>IF($A737="", "", $AI737 * Premissas!$B$12)</f>
        <v/>
      </c>
      <c r="AK737" s="47" t="str">
        <f t="shared" si="13"/>
        <v/>
      </c>
      <c r="AL737" s="47"/>
      <c r="AM737" s="47"/>
    </row>
    <row r="738" ht="15.75" customHeight="1">
      <c r="K738" s="47" t="str">
        <f>IF($A738="", "", IFERROR($E738 * ($I738/$B738) * Premissas!$B$6, 0))</f>
        <v/>
      </c>
      <c r="L738" s="47" t="str">
        <f>IF($A738="", "", IFERROR(($E738 * Premissas!$B$4 * ($I738/$B738) + $E737 * Premissas!$B$5 * ($I737/$B737)) * Premissas!$B$7, 0))</f>
        <v/>
      </c>
      <c r="AI738" s="47" t="str">
        <f>IF($A738="", "", IFERROR(($I738 * Premissas!$B$5) + ($E738 * ($I738/$B738) * Premissas!$B$4 * 12), 0))</f>
        <v/>
      </c>
      <c r="AJ738" s="47" t="str">
        <f>IF($A738="", "", $AI738 * Premissas!$B$12)</f>
        <v/>
      </c>
      <c r="AK738" s="47" t="str">
        <f t="shared" si="13"/>
        <v/>
      </c>
      <c r="AL738" s="47"/>
      <c r="AM738" s="47"/>
    </row>
    <row r="739" ht="15.75" customHeight="1">
      <c r="K739" s="47" t="str">
        <f>IF($A739="", "", IFERROR($E739 * ($I739/$B739) * Premissas!$B$6, 0))</f>
        <v/>
      </c>
      <c r="L739" s="47" t="str">
        <f>IF($A739="", "", IFERROR(($E739 * Premissas!$B$4 * ($I739/$B739) + $E738 * Premissas!$B$5 * ($I738/$B738)) * Premissas!$B$7, 0))</f>
        <v/>
      </c>
      <c r="AI739" s="47" t="str">
        <f>IF($A739="", "", IFERROR(($I739 * Premissas!$B$5) + ($E739 * ($I739/$B739) * Premissas!$B$4 * 12), 0))</f>
        <v/>
      </c>
      <c r="AJ739" s="47" t="str">
        <f>IF($A739="", "", $AI739 * Premissas!$B$12)</f>
        <v/>
      </c>
      <c r="AK739" s="47" t="str">
        <f t="shared" si="13"/>
        <v/>
      </c>
      <c r="AL739" s="47"/>
      <c r="AM739" s="47"/>
    </row>
    <row r="740" ht="15.75" customHeight="1">
      <c r="K740" s="47" t="str">
        <f>IF($A740="", "", IFERROR($E740 * ($I740/$B740) * Premissas!$B$6, 0))</f>
        <v/>
      </c>
      <c r="L740" s="47" t="str">
        <f>IF($A740="", "", IFERROR(($E740 * Premissas!$B$4 * ($I740/$B740) + $E739 * Premissas!$B$5 * ($I739/$B739)) * Premissas!$B$7, 0))</f>
        <v/>
      </c>
      <c r="AI740" s="47" t="str">
        <f>IF($A740="", "", IFERROR(($I740 * Premissas!$B$5) + ($E740 * ($I740/$B740) * Premissas!$B$4 * 12), 0))</f>
        <v/>
      </c>
      <c r="AJ740" s="47" t="str">
        <f>IF($A740="", "", $AI740 * Premissas!$B$12)</f>
        <v/>
      </c>
      <c r="AK740" s="47" t="str">
        <f t="shared" si="13"/>
        <v/>
      </c>
      <c r="AL740" s="47"/>
      <c r="AM740" s="47"/>
    </row>
    <row r="741" ht="15.75" customHeight="1">
      <c r="K741" s="47" t="str">
        <f>IF($A741="", "", IFERROR($E741 * ($I741/$B741) * Premissas!$B$6, 0))</f>
        <v/>
      </c>
      <c r="L741" s="47" t="str">
        <f>IF($A741="", "", IFERROR(($E741 * Premissas!$B$4 * ($I741/$B741) + $E740 * Premissas!$B$5 * ($I740/$B740)) * Premissas!$B$7, 0))</f>
        <v/>
      </c>
      <c r="AI741" s="47" t="str">
        <f>IF($A741="", "", IFERROR(($I741 * Premissas!$B$5) + ($E741 * ($I741/$B741) * Premissas!$B$4 * 12), 0))</f>
        <v/>
      </c>
      <c r="AJ741" s="47" t="str">
        <f>IF($A741="", "", $AI741 * Premissas!$B$12)</f>
        <v/>
      </c>
      <c r="AK741" s="47" t="str">
        <f t="shared" si="13"/>
        <v/>
      </c>
      <c r="AL741" s="47"/>
      <c r="AM741" s="47"/>
    </row>
    <row r="742" ht="15.75" customHeight="1">
      <c r="K742" s="47" t="str">
        <f>IF($A742="", "", IFERROR($E742 * ($I742/$B742) * Premissas!$B$6, 0))</f>
        <v/>
      </c>
      <c r="L742" s="47" t="str">
        <f>IF($A742="", "", IFERROR(($E742 * Premissas!$B$4 * ($I742/$B742) + $E741 * Premissas!$B$5 * ($I741/$B741)) * Premissas!$B$7, 0))</f>
        <v/>
      </c>
      <c r="AI742" s="47" t="str">
        <f>IF($A742="", "", IFERROR(($I742 * Premissas!$B$5) + ($E742 * ($I742/$B742) * Premissas!$B$4 * 12), 0))</f>
        <v/>
      </c>
      <c r="AJ742" s="47" t="str">
        <f>IF($A742="", "", $AI742 * Premissas!$B$12)</f>
        <v/>
      </c>
      <c r="AK742" s="47" t="str">
        <f t="shared" si="13"/>
        <v/>
      </c>
      <c r="AL742" s="47"/>
      <c r="AM742" s="47"/>
    </row>
    <row r="743" ht="15.75" customHeight="1">
      <c r="K743" s="47" t="str">
        <f>IF($A743="", "", IFERROR($E743 * ($I743/$B743) * Premissas!$B$6, 0))</f>
        <v/>
      </c>
      <c r="L743" s="47" t="str">
        <f>IF($A743="", "", IFERROR(($E743 * Premissas!$B$4 * ($I743/$B743) + $E742 * Premissas!$B$5 * ($I742/$B742)) * Premissas!$B$7, 0))</f>
        <v/>
      </c>
      <c r="AI743" s="47" t="str">
        <f>IF($A743="", "", IFERROR(($I743 * Premissas!$B$5) + ($E743 * ($I743/$B743) * Premissas!$B$4 * 12), 0))</f>
        <v/>
      </c>
      <c r="AJ743" s="47" t="str">
        <f>IF($A743="", "", $AI743 * Premissas!$B$12)</f>
        <v/>
      </c>
      <c r="AK743" s="47" t="str">
        <f t="shared" si="13"/>
        <v/>
      </c>
      <c r="AL743" s="47"/>
      <c r="AM743" s="47"/>
    </row>
    <row r="744" ht="15.75" customHeight="1">
      <c r="K744" s="47" t="str">
        <f>IF($A744="", "", IFERROR($E744 * ($I744/$B744) * Premissas!$B$6, 0))</f>
        <v/>
      </c>
      <c r="L744" s="47" t="str">
        <f>IF($A744="", "", IFERROR(($E744 * Premissas!$B$4 * ($I744/$B744) + $E743 * Premissas!$B$5 * ($I743/$B743)) * Premissas!$B$7, 0))</f>
        <v/>
      </c>
      <c r="AI744" s="47" t="str">
        <f>IF($A744="", "", IFERROR(($I744 * Premissas!$B$5) + ($E744 * ($I744/$B744) * Premissas!$B$4 * 12), 0))</f>
        <v/>
      </c>
      <c r="AJ744" s="47" t="str">
        <f>IF($A744="", "", $AI744 * Premissas!$B$12)</f>
        <v/>
      </c>
      <c r="AK744" s="47" t="str">
        <f t="shared" si="13"/>
        <v/>
      </c>
      <c r="AL744" s="47"/>
      <c r="AM744" s="47"/>
    </row>
    <row r="745" ht="15.75" customHeight="1">
      <c r="K745" s="47" t="str">
        <f>IF($A745="", "", IFERROR($E745 * ($I745/$B745) * Premissas!$B$6, 0))</f>
        <v/>
      </c>
      <c r="L745" s="47" t="str">
        <f>IF($A745="", "", IFERROR(($E745 * Premissas!$B$4 * ($I745/$B745) + $E744 * Premissas!$B$5 * ($I744/$B744)) * Premissas!$B$7, 0))</f>
        <v/>
      </c>
      <c r="AI745" s="47" t="str">
        <f>IF($A745="", "", IFERROR(($I745 * Premissas!$B$5) + ($E745 * ($I745/$B745) * Premissas!$B$4 * 12), 0))</f>
        <v/>
      </c>
      <c r="AJ745" s="47" t="str">
        <f>IF($A745="", "", $AI745 * Premissas!$B$12)</f>
        <v/>
      </c>
      <c r="AK745" s="47" t="str">
        <f t="shared" si="13"/>
        <v/>
      </c>
      <c r="AL745" s="47"/>
      <c r="AM745" s="47"/>
    </row>
    <row r="746" ht="15.75" customHeight="1">
      <c r="K746" s="47" t="str">
        <f>IF($A746="", "", IFERROR($E746 * ($I746/$B746) * Premissas!$B$6, 0))</f>
        <v/>
      </c>
      <c r="L746" s="47" t="str">
        <f>IF($A746="", "", IFERROR(($E746 * Premissas!$B$4 * ($I746/$B746) + $E745 * Premissas!$B$5 * ($I745/$B745)) * Premissas!$B$7, 0))</f>
        <v/>
      </c>
      <c r="AI746" s="47" t="str">
        <f>IF($A746="", "", IFERROR(($I746 * Premissas!$B$5) + ($E746 * ($I746/$B746) * Premissas!$B$4 * 12), 0))</f>
        <v/>
      </c>
      <c r="AJ746" s="47" t="str">
        <f>IF($A746="", "", $AI746 * Premissas!$B$12)</f>
        <v/>
      </c>
      <c r="AK746" s="47" t="str">
        <f t="shared" si="13"/>
        <v/>
      </c>
      <c r="AL746" s="47"/>
      <c r="AM746" s="47"/>
    </row>
    <row r="747" ht="15.75" customHeight="1">
      <c r="K747" s="47" t="str">
        <f>IF($A747="", "", IFERROR($E747 * ($I747/$B747) * Premissas!$B$6, 0))</f>
        <v/>
      </c>
      <c r="L747" s="47" t="str">
        <f>IF($A747="", "", IFERROR(($E747 * Premissas!$B$4 * ($I747/$B747) + $E746 * Premissas!$B$5 * ($I746/$B746)) * Premissas!$B$7, 0))</f>
        <v/>
      </c>
      <c r="AI747" s="47" t="str">
        <f>IF($A747="", "", IFERROR(($I747 * Premissas!$B$5) + ($E747 * ($I747/$B747) * Premissas!$B$4 * 12), 0))</f>
        <v/>
      </c>
      <c r="AJ747" s="47" t="str">
        <f>IF($A747="", "", $AI747 * Premissas!$B$12)</f>
        <v/>
      </c>
      <c r="AK747" s="47" t="str">
        <f t="shared" si="13"/>
        <v/>
      </c>
      <c r="AL747" s="47"/>
      <c r="AM747" s="47"/>
    </row>
    <row r="748" ht="15.75" customHeight="1">
      <c r="K748" s="47" t="str">
        <f>IF($A748="", "", IFERROR($E748 * ($I748/$B748) * Premissas!$B$6, 0))</f>
        <v/>
      </c>
      <c r="L748" s="47" t="str">
        <f>IF($A748="", "", IFERROR(($E748 * Premissas!$B$4 * ($I748/$B748) + $E747 * Premissas!$B$5 * ($I747/$B747)) * Premissas!$B$7, 0))</f>
        <v/>
      </c>
      <c r="AI748" s="47" t="str">
        <f>IF($A748="", "", IFERROR(($I748 * Premissas!$B$5) + ($E748 * ($I748/$B748) * Premissas!$B$4 * 12), 0))</f>
        <v/>
      </c>
      <c r="AJ748" s="47" t="str">
        <f>IF($A748="", "", $AI748 * Premissas!$B$12)</f>
        <v/>
      </c>
      <c r="AK748" s="47" t="str">
        <f t="shared" si="13"/>
        <v/>
      </c>
      <c r="AL748" s="47"/>
      <c r="AM748" s="47"/>
    </row>
    <row r="749" ht="15.75" customHeight="1">
      <c r="K749" s="47" t="str">
        <f>IF($A749="", "", IFERROR($E749 * ($I749/$B749) * Premissas!$B$6, 0))</f>
        <v/>
      </c>
      <c r="L749" s="47" t="str">
        <f>IF($A749="", "", IFERROR(($E749 * Premissas!$B$4 * ($I749/$B749) + $E748 * Premissas!$B$5 * ($I748/$B748)) * Premissas!$B$7, 0))</f>
        <v/>
      </c>
      <c r="AI749" s="47" t="str">
        <f>IF($A749="", "", IFERROR(($I749 * Premissas!$B$5) + ($E749 * ($I749/$B749) * Premissas!$B$4 * 12), 0))</f>
        <v/>
      </c>
      <c r="AJ749" s="47" t="str">
        <f>IF($A749="", "", $AI749 * Premissas!$B$12)</f>
        <v/>
      </c>
      <c r="AK749" s="47" t="str">
        <f t="shared" si="13"/>
        <v/>
      </c>
      <c r="AL749" s="47"/>
      <c r="AM749" s="47"/>
    </row>
    <row r="750" ht="15.75" customHeight="1">
      <c r="K750" s="47" t="str">
        <f>IF($A750="", "", IFERROR($E750 * ($I750/$B750) * Premissas!$B$6, 0))</f>
        <v/>
      </c>
      <c r="L750" s="47" t="str">
        <f>IF($A750="", "", IFERROR(($E750 * Premissas!$B$4 * ($I750/$B750) + $E749 * Premissas!$B$5 * ($I749/$B749)) * Premissas!$B$7, 0))</f>
        <v/>
      </c>
      <c r="AI750" s="47" t="str">
        <f>IF($A750="", "", IFERROR(($I750 * Premissas!$B$5) + ($E750 * ($I750/$B750) * Premissas!$B$4 * 12), 0))</f>
        <v/>
      </c>
      <c r="AJ750" s="47" t="str">
        <f>IF($A750="", "", $AI750 * Premissas!$B$12)</f>
        <v/>
      </c>
      <c r="AK750" s="47" t="str">
        <f t="shared" si="13"/>
        <v/>
      </c>
      <c r="AL750" s="47"/>
      <c r="AM750" s="47"/>
    </row>
    <row r="751" ht="15.75" customHeight="1">
      <c r="K751" s="47" t="str">
        <f>IF($A751="", "", IFERROR($E751 * ($I751/$B751) * Premissas!$B$6, 0))</f>
        <v/>
      </c>
      <c r="L751" s="47" t="str">
        <f>IF($A751="", "", IFERROR(($E751 * Premissas!$B$4 * ($I751/$B751) + $E750 * Premissas!$B$5 * ($I750/$B750)) * Premissas!$B$7, 0))</f>
        <v/>
      </c>
      <c r="AI751" s="47" t="str">
        <f>IF($A751="", "", IFERROR(($I751 * Premissas!$B$5) + ($E751 * ($I751/$B751) * Premissas!$B$4 * 12), 0))</f>
        <v/>
      </c>
      <c r="AJ751" s="47" t="str">
        <f>IF($A751="", "", $AI751 * Premissas!$B$12)</f>
        <v/>
      </c>
      <c r="AK751" s="47" t="str">
        <f t="shared" si="13"/>
        <v/>
      </c>
      <c r="AL751" s="47"/>
      <c r="AM751" s="47"/>
    </row>
    <row r="752" ht="15.75" customHeight="1">
      <c r="K752" s="47" t="str">
        <f>IF($A752="", "", IFERROR($E752 * ($I752/$B752) * Premissas!$B$6, 0))</f>
        <v/>
      </c>
      <c r="L752" s="47" t="str">
        <f>IF($A752="", "", IFERROR(($E752 * Premissas!$B$4 * ($I752/$B752) + $E751 * Premissas!$B$5 * ($I751/$B751)) * Premissas!$B$7, 0))</f>
        <v/>
      </c>
      <c r="AI752" s="47" t="str">
        <f>IF($A752="", "", IFERROR(($I752 * Premissas!$B$5) + ($E752 * ($I752/$B752) * Premissas!$B$4 * 12), 0))</f>
        <v/>
      </c>
      <c r="AJ752" s="47" t="str">
        <f>IF($A752="", "", $AI752 * Premissas!$B$12)</f>
        <v/>
      </c>
      <c r="AK752" s="47" t="str">
        <f t="shared" si="13"/>
        <v/>
      </c>
      <c r="AL752" s="47"/>
      <c r="AM752" s="47"/>
    </row>
    <row r="753" ht="15.75" customHeight="1">
      <c r="K753" s="47" t="str">
        <f>IF($A753="", "", IFERROR($E753 * ($I753/$B753) * Premissas!$B$6, 0))</f>
        <v/>
      </c>
      <c r="L753" s="47" t="str">
        <f>IF($A753="", "", IFERROR(($E753 * Premissas!$B$4 * ($I753/$B753) + $E752 * Premissas!$B$5 * ($I752/$B752)) * Premissas!$B$7, 0))</f>
        <v/>
      </c>
      <c r="AI753" s="47" t="str">
        <f>IF($A753="", "", IFERROR(($I753 * Premissas!$B$5) + ($E753 * ($I753/$B753) * Premissas!$B$4 * 12), 0))</f>
        <v/>
      </c>
      <c r="AJ753" s="47" t="str">
        <f>IF($A753="", "", $AI753 * Premissas!$B$12)</f>
        <v/>
      </c>
      <c r="AK753" s="47" t="str">
        <f t="shared" si="13"/>
        <v/>
      </c>
      <c r="AL753" s="47"/>
      <c r="AM753" s="47"/>
    </row>
    <row r="754" ht="15.75" customHeight="1">
      <c r="K754" s="47" t="str">
        <f>IF($A754="", "", IFERROR($E754 * ($I754/$B754) * Premissas!$B$6, 0))</f>
        <v/>
      </c>
      <c r="L754" s="47" t="str">
        <f>IF($A754="", "", IFERROR(($E754 * Premissas!$B$4 * ($I754/$B754) + $E753 * Premissas!$B$5 * ($I753/$B753)) * Premissas!$B$7, 0))</f>
        <v/>
      </c>
      <c r="AI754" s="47" t="str">
        <f>IF($A754="", "", IFERROR(($I754 * Premissas!$B$5) + ($E754 * ($I754/$B754) * Premissas!$B$4 * 12), 0))</f>
        <v/>
      </c>
      <c r="AJ754" s="47" t="str">
        <f>IF($A754="", "", $AI754 * Premissas!$B$12)</f>
        <v/>
      </c>
      <c r="AK754" s="47" t="str">
        <f t="shared" si="13"/>
        <v/>
      </c>
      <c r="AL754" s="47"/>
      <c r="AM754" s="47"/>
    </row>
    <row r="755" ht="15.75" customHeight="1">
      <c r="K755" s="47" t="str">
        <f>IF($A755="", "", IFERROR($E755 * ($I755/$B755) * Premissas!$B$6, 0))</f>
        <v/>
      </c>
      <c r="L755" s="47" t="str">
        <f>IF($A755="", "", IFERROR(($E755 * Premissas!$B$4 * ($I755/$B755) + $E754 * Premissas!$B$5 * ($I754/$B754)) * Premissas!$B$7, 0))</f>
        <v/>
      </c>
      <c r="AI755" s="47" t="str">
        <f>IF($A755="", "", IFERROR(($I755 * Premissas!$B$5) + ($E755 * ($I755/$B755) * Premissas!$B$4 * 12), 0))</f>
        <v/>
      </c>
      <c r="AJ755" s="47" t="str">
        <f>IF($A755="", "", $AI755 * Premissas!$B$12)</f>
        <v/>
      </c>
      <c r="AK755" s="47" t="str">
        <f t="shared" si="13"/>
        <v/>
      </c>
      <c r="AL755" s="47"/>
      <c r="AM755" s="47"/>
    </row>
    <row r="756" ht="15.75" customHeight="1">
      <c r="K756" s="47" t="str">
        <f>IF($A756="", "", IFERROR($E756 * ($I756/$B756) * Premissas!$B$6, 0))</f>
        <v/>
      </c>
      <c r="L756" s="47" t="str">
        <f>IF($A756="", "", IFERROR(($E756 * Premissas!$B$4 * ($I756/$B756) + $E755 * Premissas!$B$5 * ($I755/$B755)) * Premissas!$B$7, 0))</f>
        <v/>
      </c>
      <c r="AI756" s="47" t="str">
        <f>IF($A756="", "", IFERROR(($I756 * Premissas!$B$5) + ($E756 * ($I756/$B756) * Premissas!$B$4 * 12), 0))</f>
        <v/>
      </c>
      <c r="AJ756" s="47" t="str">
        <f>IF($A756="", "", $AI756 * Premissas!$B$12)</f>
        <v/>
      </c>
      <c r="AK756" s="47" t="str">
        <f t="shared" si="13"/>
        <v/>
      </c>
      <c r="AL756" s="47"/>
      <c r="AM756" s="47"/>
    </row>
    <row r="757" ht="15.75" customHeight="1">
      <c r="K757" s="47" t="str">
        <f>IF($A757="", "", IFERROR($E757 * ($I757/$B757) * Premissas!$B$6, 0))</f>
        <v/>
      </c>
      <c r="L757" s="47" t="str">
        <f>IF($A757="", "", IFERROR(($E757 * Premissas!$B$4 * ($I757/$B757) + $E756 * Premissas!$B$5 * ($I756/$B756)) * Premissas!$B$7, 0))</f>
        <v/>
      </c>
      <c r="AI757" s="47" t="str">
        <f>IF($A757="", "", IFERROR(($I757 * Premissas!$B$5) + ($E757 * ($I757/$B757) * Premissas!$B$4 * 12), 0))</f>
        <v/>
      </c>
      <c r="AJ757" s="47" t="str">
        <f>IF($A757="", "", $AI757 * Premissas!$B$12)</f>
        <v/>
      </c>
      <c r="AK757" s="47" t="str">
        <f t="shared" si="13"/>
        <v/>
      </c>
      <c r="AL757" s="47"/>
      <c r="AM757" s="47"/>
    </row>
    <row r="758" ht="15.75" customHeight="1">
      <c r="K758" s="47" t="str">
        <f>IF($A758="", "", IFERROR($E758 * ($I758/$B758) * Premissas!$B$6, 0))</f>
        <v/>
      </c>
      <c r="L758" s="47" t="str">
        <f>IF($A758="", "", IFERROR(($E758 * Premissas!$B$4 * ($I758/$B758) + $E757 * Premissas!$B$5 * ($I757/$B757)) * Premissas!$B$7, 0))</f>
        <v/>
      </c>
      <c r="AI758" s="47" t="str">
        <f>IF($A758="", "", IFERROR(($I758 * Premissas!$B$5) + ($E758 * ($I758/$B758) * Premissas!$B$4 * 12), 0))</f>
        <v/>
      </c>
      <c r="AJ758" s="47" t="str">
        <f>IF($A758="", "", $AI758 * Premissas!$B$12)</f>
        <v/>
      </c>
      <c r="AK758" s="47" t="str">
        <f t="shared" si="13"/>
        <v/>
      </c>
      <c r="AL758" s="47"/>
      <c r="AM758" s="47"/>
    </row>
    <row r="759" ht="15.75" customHeight="1">
      <c r="K759" s="47" t="str">
        <f>IF($A759="", "", IFERROR($E759 * ($I759/$B759) * Premissas!$B$6, 0))</f>
        <v/>
      </c>
      <c r="L759" s="47" t="str">
        <f>IF($A759="", "", IFERROR(($E759 * Premissas!$B$4 * ($I759/$B759) + $E758 * Premissas!$B$5 * ($I758/$B758)) * Premissas!$B$7, 0))</f>
        <v/>
      </c>
      <c r="AI759" s="47" t="str">
        <f>IF($A759="", "", IFERROR(($I759 * Premissas!$B$5) + ($E759 * ($I759/$B759) * Premissas!$B$4 * 12), 0))</f>
        <v/>
      </c>
      <c r="AJ759" s="47" t="str">
        <f>IF($A759="", "", $AI759 * Premissas!$B$12)</f>
        <v/>
      </c>
      <c r="AK759" s="47" t="str">
        <f t="shared" si="13"/>
        <v/>
      </c>
      <c r="AL759" s="47"/>
      <c r="AM759" s="47"/>
    </row>
    <row r="760" ht="15.75" customHeight="1">
      <c r="K760" s="47" t="str">
        <f>IF($A760="", "", IFERROR($E760 * ($I760/$B760) * Premissas!$B$6, 0))</f>
        <v/>
      </c>
      <c r="L760" s="47" t="str">
        <f>IF($A760="", "", IFERROR(($E760 * Premissas!$B$4 * ($I760/$B760) + $E759 * Premissas!$B$5 * ($I759/$B759)) * Premissas!$B$7, 0))</f>
        <v/>
      </c>
      <c r="AI760" s="47" t="str">
        <f>IF($A760="", "", IFERROR(($I760 * Premissas!$B$5) + ($E760 * ($I760/$B760) * Premissas!$B$4 * 12), 0))</f>
        <v/>
      </c>
      <c r="AJ760" s="47" t="str">
        <f>IF($A760="", "", $AI760 * Premissas!$B$12)</f>
        <v/>
      </c>
      <c r="AK760" s="47" t="str">
        <f t="shared" si="13"/>
        <v/>
      </c>
      <c r="AL760" s="47"/>
      <c r="AM760" s="47"/>
    </row>
    <row r="761" ht="15.75" customHeight="1">
      <c r="K761" s="47" t="str">
        <f>IF($A761="", "", IFERROR($E761 * ($I761/$B761) * Premissas!$B$6, 0))</f>
        <v/>
      </c>
      <c r="L761" s="47" t="str">
        <f>IF($A761="", "", IFERROR(($E761 * Premissas!$B$4 * ($I761/$B761) + $E760 * Premissas!$B$5 * ($I760/$B760)) * Premissas!$B$7, 0))</f>
        <v/>
      </c>
      <c r="AI761" s="47" t="str">
        <f>IF($A761="", "", IFERROR(($I761 * Premissas!$B$5) + ($E761 * ($I761/$B761) * Premissas!$B$4 * 12), 0))</f>
        <v/>
      </c>
      <c r="AJ761" s="47" t="str">
        <f>IF($A761="", "", $AI761 * Premissas!$B$12)</f>
        <v/>
      </c>
      <c r="AK761" s="47" t="str">
        <f t="shared" si="13"/>
        <v/>
      </c>
      <c r="AL761" s="47"/>
      <c r="AM761" s="47"/>
    </row>
    <row r="762" ht="15.75" customHeight="1">
      <c r="K762" s="47" t="str">
        <f>IF($A762="", "", IFERROR($E762 * ($I762/$B762) * Premissas!$B$6, 0))</f>
        <v/>
      </c>
      <c r="L762" s="47" t="str">
        <f>IF($A762="", "", IFERROR(($E762 * Premissas!$B$4 * ($I762/$B762) + $E761 * Premissas!$B$5 * ($I761/$B761)) * Premissas!$B$7, 0))</f>
        <v/>
      </c>
      <c r="AI762" s="47" t="str">
        <f>IF($A762="", "", IFERROR(($I762 * Premissas!$B$5) + ($E762 * ($I762/$B762) * Premissas!$B$4 * 12), 0))</f>
        <v/>
      </c>
      <c r="AJ762" s="47" t="str">
        <f>IF($A762="", "", $AI762 * Premissas!$B$12)</f>
        <v/>
      </c>
      <c r="AK762" s="47" t="str">
        <f t="shared" si="13"/>
        <v/>
      </c>
      <c r="AL762" s="47"/>
      <c r="AM762" s="47"/>
    </row>
    <row r="763" ht="15.75" customHeight="1">
      <c r="K763" s="47" t="str">
        <f>IF($A763="", "", IFERROR($E763 * ($I763/$B763) * Premissas!$B$6, 0))</f>
        <v/>
      </c>
      <c r="L763" s="47" t="str">
        <f>IF($A763="", "", IFERROR(($E763 * Premissas!$B$4 * ($I763/$B763) + $E762 * Premissas!$B$5 * ($I762/$B762)) * Premissas!$B$7, 0))</f>
        <v/>
      </c>
      <c r="AI763" s="47" t="str">
        <f>IF($A763="", "", IFERROR(($I763 * Premissas!$B$5) + ($E763 * ($I763/$B763) * Premissas!$B$4 * 12), 0))</f>
        <v/>
      </c>
      <c r="AJ763" s="47" t="str">
        <f>IF($A763="", "", $AI763 * Premissas!$B$12)</f>
        <v/>
      </c>
      <c r="AK763" s="47" t="str">
        <f t="shared" si="13"/>
        <v/>
      </c>
      <c r="AL763" s="47"/>
      <c r="AM763" s="47"/>
    </row>
    <row r="764" ht="15.75" customHeight="1">
      <c r="K764" s="47" t="str">
        <f>IF($A764="", "", IFERROR($E764 * ($I764/$B764) * Premissas!$B$6, 0))</f>
        <v/>
      </c>
      <c r="L764" s="47" t="str">
        <f>IF($A764="", "", IFERROR(($E764 * Premissas!$B$4 * ($I764/$B764) + $E763 * Premissas!$B$5 * ($I763/$B763)) * Premissas!$B$7, 0))</f>
        <v/>
      </c>
      <c r="AI764" s="47" t="str">
        <f>IF($A764="", "", IFERROR(($I764 * Premissas!$B$5) + ($E764 * ($I764/$B764) * Premissas!$B$4 * 12), 0))</f>
        <v/>
      </c>
      <c r="AJ764" s="47" t="str">
        <f>IF($A764="", "", $AI764 * Premissas!$B$12)</f>
        <v/>
      </c>
      <c r="AK764" s="47" t="str">
        <f t="shared" si="13"/>
        <v/>
      </c>
      <c r="AL764" s="47"/>
      <c r="AM764" s="47"/>
    </row>
    <row r="765" ht="15.75" customHeight="1">
      <c r="K765" s="47" t="str">
        <f>IF($A765="", "", IFERROR($E765 * ($I765/$B765) * Premissas!$B$6, 0))</f>
        <v/>
      </c>
      <c r="L765" s="47" t="str">
        <f>IF($A765="", "", IFERROR(($E765 * Premissas!$B$4 * ($I765/$B765) + $E764 * Premissas!$B$5 * ($I764/$B764)) * Premissas!$B$7, 0))</f>
        <v/>
      </c>
      <c r="AI765" s="47" t="str">
        <f>IF($A765="", "", IFERROR(($I765 * Premissas!$B$5) + ($E765 * ($I765/$B765) * Premissas!$B$4 * 12), 0))</f>
        <v/>
      </c>
      <c r="AJ765" s="47" t="str">
        <f>IF($A765="", "", $AI765 * Premissas!$B$12)</f>
        <v/>
      </c>
      <c r="AK765" s="47" t="str">
        <f t="shared" si="13"/>
        <v/>
      </c>
      <c r="AL765" s="47"/>
      <c r="AM765" s="47"/>
    </row>
    <row r="766" ht="15.75" customHeight="1">
      <c r="K766" s="47" t="str">
        <f>IF($A766="", "", IFERROR($E766 * ($I766/$B766) * Premissas!$B$6, 0))</f>
        <v/>
      </c>
      <c r="L766" s="47" t="str">
        <f>IF($A766="", "", IFERROR(($E766 * Premissas!$B$4 * ($I766/$B766) + $E765 * Premissas!$B$5 * ($I765/$B765)) * Premissas!$B$7, 0))</f>
        <v/>
      </c>
      <c r="AI766" s="47" t="str">
        <f>IF($A766="", "", IFERROR(($I766 * Premissas!$B$5) + ($E766 * ($I766/$B766) * Premissas!$B$4 * 12), 0))</f>
        <v/>
      </c>
      <c r="AJ766" s="47" t="str">
        <f>IF($A766="", "", $AI766 * Premissas!$B$12)</f>
        <v/>
      </c>
      <c r="AK766" s="47" t="str">
        <f t="shared" si="13"/>
        <v/>
      </c>
      <c r="AL766" s="47"/>
      <c r="AM766" s="47"/>
    </row>
    <row r="767" ht="15.75" customHeight="1">
      <c r="K767" s="47" t="str">
        <f>IF($A767="", "", IFERROR($E767 * ($I767/$B767) * Premissas!$B$6, 0))</f>
        <v/>
      </c>
      <c r="L767" s="47" t="str">
        <f>IF($A767="", "", IFERROR(($E767 * Premissas!$B$4 * ($I767/$B767) + $E766 * Premissas!$B$5 * ($I766/$B766)) * Premissas!$B$7, 0))</f>
        <v/>
      </c>
      <c r="AI767" s="47" t="str">
        <f>IF($A767="", "", IFERROR(($I767 * Premissas!$B$5) + ($E767 * ($I767/$B767) * Premissas!$B$4 * 12), 0))</f>
        <v/>
      </c>
      <c r="AJ767" s="47" t="str">
        <f>IF($A767="", "", $AI767 * Premissas!$B$12)</f>
        <v/>
      </c>
      <c r="AK767" s="47" t="str">
        <f t="shared" si="13"/>
        <v/>
      </c>
      <c r="AL767" s="47"/>
      <c r="AM767" s="47"/>
    </row>
    <row r="768" ht="15.75" customHeight="1">
      <c r="K768" s="47" t="str">
        <f>IF($A768="", "", IFERROR($E768 * ($I768/$B768) * Premissas!$B$6, 0))</f>
        <v/>
      </c>
      <c r="L768" s="47" t="str">
        <f>IF($A768="", "", IFERROR(($E768 * Premissas!$B$4 * ($I768/$B768) + $E767 * Premissas!$B$5 * ($I767/$B767)) * Premissas!$B$7, 0))</f>
        <v/>
      </c>
      <c r="AI768" s="47" t="str">
        <f>IF($A768="", "", IFERROR(($I768 * Premissas!$B$5) + ($E768 * ($I768/$B768) * Premissas!$B$4 * 12), 0))</f>
        <v/>
      </c>
      <c r="AJ768" s="47" t="str">
        <f>IF($A768="", "", $AI768 * Premissas!$B$12)</f>
        <v/>
      </c>
      <c r="AK768" s="47" t="str">
        <f t="shared" si="13"/>
        <v/>
      </c>
      <c r="AL768" s="47"/>
      <c r="AM768" s="47"/>
    </row>
    <row r="769" ht="15.75" customHeight="1">
      <c r="K769" s="47" t="str">
        <f>IF($A769="", "", IFERROR($E769 * ($I769/$B769) * Premissas!$B$6, 0))</f>
        <v/>
      </c>
      <c r="L769" s="47" t="str">
        <f>IF($A769="", "", IFERROR(($E769 * Premissas!$B$4 * ($I769/$B769) + $E768 * Premissas!$B$5 * ($I768/$B768)) * Premissas!$B$7, 0))</f>
        <v/>
      </c>
      <c r="AI769" s="47" t="str">
        <f>IF($A769="", "", IFERROR(($I769 * Premissas!$B$5) + ($E769 * ($I769/$B769) * Premissas!$B$4 * 12), 0))</f>
        <v/>
      </c>
      <c r="AJ769" s="47" t="str">
        <f>IF($A769="", "", $AI769 * Premissas!$B$12)</f>
        <v/>
      </c>
      <c r="AK769" s="47" t="str">
        <f t="shared" si="13"/>
        <v/>
      </c>
      <c r="AL769" s="47"/>
      <c r="AM769" s="47"/>
    </row>
    <row r="770" ht="15.75" customHeight="1">
      <c r="K770" s="47" t="str">
        <f>IF($A770="", "", IFERROR($E770 * ($I770/$B770) * Premissas!$B$6, 0))</f>
        <v/>
      </c>
      <c r="L770" s="47" t="str">
        <f>IF($A770="", "", IFERROR(($E770 * Premissas!$B$4 * ($I770/$B770) + $E769 * Premissas!$B$5 * ($I769/$B769)) * Premissas!$B$7, 0))</f>
        <v/>
      </c>
      <c r="AI770" s="47" t="str">
        <f>IF($A770="", "", IFERROR(($I770 * Premissas!$B$5) + ($E770 * ($I770/$B770) * Premissas!$B$4 * 12), 0))</f>
        <v/>
      </c>
      <c r="AJ770" s="47" t="str">
        <f>IF($A770="", "", $AI770 * Premissas!$B$12)</f>
        <v/>
      </c>
      <c r="AK770" s="47" t="str">
        <f t="shared" si="13"/>
        <v/>
      </c>
      <c r="AL770" s="47"/>
      <c r="AM770" s="47"/>
    </row>
    <row r="771" ht="15.75" customHeight="1">
      <c r="K771" s="47" t="str">
        <f>IF($A771="", "", IFERROR($E771 * ($I771/$B771) * Premissas!$B$6, 0))</f>
        <v/>
      </c>
      <c r="L771" s="47" t="str">
        <f>IF($A771="", "", IFERROR(($E771 * Premissas!$B$4 * ($I771/$B771) + $E770 * Premissas!$B$5 * ($I770/$B770)) * Premissas!$B$7, 0))</f>
        <v/>
      </c>
      <c r="AI771" s="47" t="str">
        <f>IF($A771="", "", IFERROR(($I771 * Premissas!$B$5) + ($E771 * ($I771/$B771) * Premissas!$B$4 * 12), 0))</f>
        <v/>
      </c>
      <c r="AJ771" s="47" t="str">
        <f>IF($A771="", "", $AI771 * Premissas!$B$12)</f>
        <v/>
      </c>
      <c r="AK771" s="47" t="str">
        <f t="shared" si="13"/>
        <v/>
      </c>
      <c r="AL771" s="47"/>
      <c r="AM771" s="47"/>
    </row>
    <row r="772" ht="15.75" customHeight="1">
      <c r="K772" s="47" t="str">
        <f>IF($A772="", "", IFERROR($E772 * ($I772/$B772) * Premissas!$B$6, 0))</f>
        <v/>
      </c>
      <c r="L772" s="47" t="str">
        <f>IF($A772="", "", IFERROR(($E772 * Premissas!$B$4 * ($I772/$B772) + $E771 * Premissas!$B$5 * ($I771/$B771)) * Premissas!$B$7, 0))</f>
        <v/>
      </c>
      <c r="AI772" s="47" t="str">
        <f>IF($A772="", "", IFERROR(($I772 * Premissas!$B$5) + ($E772 * ($I772/$B772) * Premissas!$B$4 * 12), 0))</f>
        <v/>
      </c>
      <c r="AJ772" s="47" t="str">
        <f>IF($A772="", "", $AI772 * Premissas!$B$12)</f>
        <v/>
      </c>
      <c r="AK772" s="47" t="str">
        <f t="shared" si="13"/>
        <v/>
      </c>
      <c r="AL772" s="47"/>
      <c r="AM772" s="47"/>
    </row>
    <row r="773" ht="15.75" customHeight="1">
      <c r="K773" s="47" t="str">
        <f>IF($A773="", "", IFERROR($E773 * ($I773/$B773) * Premissas!$B$6, 0))</f>
        <v/>
      </c>
      <c r="L773" s="47" t="str">
        <f>IF($A773="", "", IFERROR(($E773 * Premissas!$B$4 * ($I773/$B773) + $E772 * Premissas!$B$5 * ($I772/$B772)) * Premissas!$B$7, 0))</f>
        <v/>
      </c>
      <c r="AI773" s="47" t="str">
        <f>IF($A773="", "", IFERROR(($I773 * Premissas!$B$5) + ($E773 * ($I773/$B773) * Premissas!$B$4 * 12), 0))</f>
        <v/>
      </c>
      <c r="AJ773" s="47" t="str">
        <f>IF($A773="", "", $AI773 * Premissas!$B$12)</f>
        <v/>
      </c>
      <c r="AK773" s="47" t="str">
        <f t="shared" si="13"/>
        <v/>
      </c>
      <c r="AL773" s="47"/>
      <c r="AM773" s="47"/>
    </row>
    <row r="774" ht="15.75" customHeight="1">
      <c r="K774" s="47" t="str">
        <f>IF($A774="", "", IFERROR($E774 * ($I774/$B774) * Premissas!$B$6, 0))</f>
        <v/>
      </c>
      <c r="L774" s="47" t="str">
        <f>IF($A774="", "", IFERROR(($E774 * Premissas!$B$4 * ($I774/$B774) + $E773 * Premissas!$B$5 * ($I773/$B773)) * Premissas!$B$7, 0))</f>
        <v/>
      </c>
      <c r="AI774" s="47" t="str">
        <f>IF($A774="", "", IFERROR(($I774 * Premissas!$B$5) + ($E774 * ($I774/$B774) * Premissas!$B$4 * 12), 0))</f>
        <v/>
      </c>
      <c r="AJ774" s="47" t="str">
        <f>IF($A774="", "", $AI774 * Premissas!$B$12)</f>
        <v/>
      </c>
      <c r="AK774" s="47" t="str">
        <f t="shared" si="13"/>
        <v/>
      </c>
      <c r="AL774" s="47"/>
      <c r="AM774" s="47"/>
    </row>
    <row r="775" ht="15.75" customHeight="1">
      <c r="K775" s="47" t="str">
        <f>IF($A775="", "", IFERROR($E775 * ($I775/$B775) * Premissas!$B$6, 0))</f>
        <v/>
      </c>
      <c r="L775" s="47" t="str">
        <f>IF($A775="", "", IFERROR(($E775 * Premissas!$B$4 * ($I775/$B775) + $E774 * Premissas!$B$5 * ($I774/$B774)) * Premissas!$B$7, 0))</f>
        <v/>
      </c>
      <c r="AI775" s="47" t="str">
        <f>IF($A775="", "", IFERROR(($I775 * Premissas!$B$5) + ($E775 * ($I775/$B775) * Premissas!$B$4 * 12), 0))</f>
        <v/>
      </c>
      <c r="AJ775" s="47" t="str">
        <f>IF($A775="", "", $AI775 * Premissas!$B$12)</f>
        <v/>
      </c>
      <c r="AK775" s="47" t="str">
        <f t="shared" si="13"/>
        <v/>
      </c>
      <c r="AL775" s="47"/>
      <c r="AM775" s="47"/>
    </row>
    <row r="776" ht="15.75" customHeight="1">
      <c r="K776" s="47" t="str">
        <f>IF($A776="", "", IFERROR($E776 * ($I776/$B776) * Premissas!$B$6, 0))</f>
        <v/>
      </c>
      <c r="L776" s="47" t="str">
        <f>IF($A776="", "", IFERROR(($E776 * Premissas!$B$4 * ($I776/$B776) + $E775 * Premissas!$B$5 * ($I775/$B775)) * Premissas!$B$7, 0))</f>
        <v/>
      </c>
      <c r="AI776" s="47" t="str">
        <f>IF($A776="", "", IFERROR(($I776 * Premissas!$B$5) + ($E776 * ($I776/$B776) * Premissas!$B$4 * 12), 0))</f>
        <v/>
      </c>
      <c r="AJ776" s="47" t="str">
        <f>IF($A776="", "", $AI776 * Premissas!$B$12)</f>
        <v/>
      </c>
      <c r="AK776" s="47" t="str">
        <f t="shared" si="13"/>
        <v/>
      </c>
      <c r="AL776" s="47"/>
      <c r="AM776" s="47"/>
    </row>
    <row r="777" ht="15.75" customHeight="1">
      <c r="K777" s="47" t="str">
        <f>IF($A777="", "", IFERROR($E777 * ($I777/$B777) * Premissas!$B$6, 0))</f>
        <v/>
      </c>
      <c r="L777" s="47" t="str">
        <f>IF($A777="", "", IFERROR(($E777 * Premissas!$B$4 * ($I777/$B777) + $E776 * Premissas!$B$5 * ($I776/$B776)) * Premissas!$B$7, 0))</f>
        <v/>
      </c>
      <c r="AI777" s="47" t="str">
        <f>IF($A777="", "", IFERROR(($I777 * Premissas!$B$5) + ($E777 * ($I777/$B777) * Premissas!$B$4 * 12), 0))</f>
        <v/>
      </c>
      <c r="AJ777" s="47" t="str">
        <f>IF($A777="", "", $AI777 * Premissas!$B$12)</f>
        <v/>
      </c>
      <c r="AK777" s="47" t="str">
        <f t="shared" si="13"/>
        <v/>
      </c>
      <c r="AL777" s="47"/>
      <c r="AM777" s="47"/>
    </row>
    <row r="778" ht="15.75" customHeight="1">
      <c r="K778" s="47" t="str">
        <f>IF($A778="", "", IFERROR($E778 * ($I778/$B778) * Premissas!$B$6, 0))</f>
        <v/>
      </c>
      <c r="L778" s="47" t="str">
        <f>IF($A778="", "", IFERROR(($E778 * Premissas!$B$4 * ($I778/$B778) + $E777 * Premissas!$B$5 * ($I777/$B777)) * Premissas!$B$7, 0))</f>
        <v/>
      </c>
      <c r="AI778" s="47" t="str">
        <f>IF($A778="", "", IFERROR(($I778 * Premissas!$B$5) + ($E778 * ($I778/$B778) * Premissas!$B$4 * 12), 0))</f>
        <v/>
      </c>
      <c r="AJ778" s="47" t="str">
        <f>IF($A778="", "", $AI778 * Premissas!$B$12)</f>
        <v/>
      </c>
      <c r="AK778" s="47" t="str">
        <f t="shared" si="13"/>
        <v/>
      </c>
      <c r="AL778" s="47"/>
      <c r="AM778" s="47"/>
    </row>
    <row r="779" ht="15.75" customHeight="1">
      <c r="K779" s="47" t="str">
        <f>IF($A779="", "", IFERROR($E779 * ($I779/$B779) * Premissas!$B$6, 0))</f>
        <v/>
      </c>
      <c r="L779" s="47" t="str">
        <f>IF($A779="", "", IFERROR(($E779 * Premissas!$B$4 * ($I779/$B779) + $E778 * Premissas!$B$5 * ($I778/$B778)) * Premissas!$B$7, 0))</f>
        <v/>
      </c>
      <c r="AI779" s="47" t="str">
        <f>IF($A779="", "", IFERROR(($I779 * Premissas!$B$5) + ($E779 * ($I779/$B779) * Premissas!$B$4 * 12), 0))</f>
        <v/>
      </c>
      <c r="AJ779" s="47" t="str">
        <f>IF($A779="", "", $AI779 * Premissas!$B$12)</f>
        <v/>
      </c>
      <c r="AK779" s="47" t="str">
        <f t="shared" si="13"/>
        <v/>
      </c>
      <c r="AL779" s="47"/>
      <c r="AM779" s="47"/>
    </row>
    <row r="780" ht="15.75" customHeight="1">
      <c r="K780" s="47" t="str">
        <f>IF($A780="", "", IFERROR($E780 * ($I780/$B780) * Premissas!$B$6, 0))</f>
        <v/>
      </c>
      <c r="L780" s="47" t="str">
        <f>IF($A780="", "", IFERROR(($E780 * Premissas!$B$4 * ($I780/$B780) + $E779 * Premissas!$B$5 * ($I779/$B779)) * Premissas!$B$7, 0))</f>
        <v/>
      </c>
      <c r="AI780" s="47" t="str">
        <f>IF($A780="", "", IFERROR(($I780 * Premissas!$B$5) + ($E780 * ($I780/$B780) * Premissas!$B$4 * 12), 0))</f>
        <v/>
      </c>
      <c r="AJ780" s="47" t="str">
        <f>IF($A780="", "", $AI780 * Premissas!$B$12)</f>
        <v/>
      </c>
      <c r="AK780" s="47" t="str">
        <f t="shared" si="13"/>
        <v/>
      </c>
      <c r="AL780" s="47"/>
      <c r="AM780" s="47"/>
    </row>
    <row r="781" ht="15.75" customHeight="1">
      <c r="K781" s="47" t="str">
        <f>IF($A781="", "", IFERROR($E781 * ($I781/$B781) * Premissas!$B$6, 0))</f>
        <v/>
      </c>
      <c r="L781" s="47" t="str">
        <f>IF($A781="", "", IFERROR(($E781 * Premissas!$B$4 * ($I781/$B781) + $E780 * Premissas!$B$5 * ($I780/$B780)) * Premissas!$B$7, 0))</f>
        <v/>
      </c>
      <c r="AI781" s="47" t="str">
        <f>IF($A781="", "", IFERROR(($I781 * Premissas!$B$5) + ($E781 * ($I781/$B781) * Premissas!$B$4 * 12), 0))</f>
        <v/>
      </c>
      <c r="AJ781" s="47" t="str">
        <f>IF($A781="", "", $AI781 * Premissas!$B$12)</f>
        <v/>
      </c>
      <c r="AK781" s="47" t="str">
        <f t="shared" si="13"/>
        <v/>
      </c>
      <c r="AL781" s="47"/>
      <c r="AM781" s="47"/>
    </row>
    <row r="782" ht="15.75" customHeight="1">
      <c r="K782" s="47" t="str">
        <f>IF($A782="", "", IFERROR($E782 * ($I782/$B782) * Premissas!$B$6, 0))</f>
        <v/>
      </c>
      <c r="L782" s="47" t="str">
        <f>IF($A782="", "", IFERROR(($E782 * Premissas!$B$4 * ($I782/$B782) + $E781 * Premissas!$B$5 * ($I781/$B781)) * Premissas!$B$7, 0))</f>
        <v/>
      </c>
      <c r="AI782" s="47" t="str">
        <f>IF($A782="", "", IFERROR(($I782 * Premissas!$B$5) + ($E782 * ($I782/$B782) * Premissas!$B$4 * 12), 0))</f>
        <v/>
      </c>
      <c r="AJ782" s="47" t="str">
        <f>IF($A782="", "", $AI782 * Premissas!$B$12)</f>
        <v/>
      </c>
      <c r="AK782" s="47" t="str">
        <f t="shared" si="13"/>
        <v/>
      </c>
      <c r="AL782" s="47"/>
      <c r="AM782" s="47"/>
    </row>
    <row r="783" ht="15.75" customHeight="1">
      <c r="K783" s="47" t="str">
        <f>IF($A783="", "", IFERROR($E783 * ($I783/$B783) * Premissas!$B$6, 0))</f>
        <v/>
      </c>
      <c r="L783" s="47" t="str">
        <f>IF($A783="", "", IFERROR(($E783 * Premissas!$B$4 * ($I783/$B783) + $E782 * Premissas!$B$5 * ($I782/$B782)) * Premissas!$B$7, 0))</f>
        <v/>
      </c>
      <c r="AI783" s="47" t="str">
        <f>IF($A783="", "", IFERROR(($I783 * Premissas!$B$5) + ($E783 * ($I783/$B783) * Premissas!$B$4 * 12), 0))</f>
        <v/>
      </c>
      <c r="AJ783" s="47" t="str">
        <f>IF($A783="", "", $AI783 * Premissas!$B$12)</f>
        <v/>
      </c>
      <c r="AK783" s="47" t="str">
        <f t="shared" si="13"/>
        <v/>
      </c>
      <c r="AL783" s="47"/>
      <c r="AM783" s="47"/>
    </row>
    <row r="784" ht="15.75" customHeight="1">
      <c r="K784" s="47" t="str">
        <f>IF($A784="", "", IFERROR($E784 * ($I784/$B784) * Premissas!$B$6, 0))</f>
        <v/>
      </c>
      <c r="L784" s="47" t="str">
        <f>IF($A784="", "", IFERROR(($E784 * Premissas!$B$4 * ($I784/$B784) + $E783 * Premissas!$B$5 * ($I783/$B783)) * Premissas!$B$7, 0))</f>
        <v/>
      </c>
      <c r="AI784" s="47" t="str">
        <f>IF($A784="", "", IFERROR(($I784 * Premissas!$B$5) + ($E784 * ($I784/$B784) * Premissas!$B$4 * 12), 0))</f>
        <v/>
      </c>
      <c r="AJ784" s="47" t="str">
        <f>IF($A784="", "", $AI784 * Premissas!$B$12)</f>
        <v/>
      </c>
      <c r="AK784" s="47" t="str">
        <f t="shared" si="13"/>
        <v/>
      </c>
      <c r="AL784" s="47"/>
      <c r="AM784" s="47"/>
    </row>
    <row r="785" ht="15.75" customHeight="1">
      <c r="K785" s="47" t="str">
        <f>IF($A785="", "", IFERROR($E785 * ($I785/$B785) * Premissas!$B$6, 0))</f>
        <v/>
      </c>
      <c r="L785" s="47" t="str">
        <f>IF($A785="", "", IFERROR(($E785 * Premissas!$B$4 * ($I785/$B785) + $E784 * Premissas!$B$5 * ($I784/$B784)) * Premissas!$B$7, 0))</f>
        <v/>
      </c>
      <c r="AI785" s="47" t="str">
        <f>IF($A785="", "", IFERROR(($I785 * Premissas!$B$5) + ($E785 * ($I785/$B785) * Premissas!$B$4 * 12), 0))</f>
        <v/>
      </c>
      <c r="AJ785" s="47" t="str">
        <f>IF($A785="", "", $AI785 * Premissas!$B$12)</f>
        <v/>
      </c>
      <c r="AK785" s="47" t="str">
        <f t="shared" si="13"/>
        <v/>
      </c>
      <c r="AL785" s="47"/>
      <c r="AM785" s="47"/>
    </row>
    <row r="786" ht="15.75" customHeight="1">
      <c r="K786" s="47" t="str">
        <f>IF($A786="", "", IFERROR($E786 * ($I786/$B786) * Premissas!$B$6, 0))</f>
        <v/>
      </c>
      <c r="L786" s="47" t="str">
        <f>IF($A786="", "", IFERROR(($E786 * Premissas!$B$4 * ($I786/$B786) + $E785 * Premissas!$B$5 * ($I785/$B785)) * Premissas!$B$7, 0))</f>
        <v/>
      </c>
      <c r="AI786" s="47" t="str">
        <f>IF($A786="", "", IFERROR(($I786 * Premissas!$B$5) + ($E786 * ($I786/$B786) * Premissas!$B$4 * 12), 0))</f>
        <v/>
      </c>
      <c r="AJ786" s="47" t="str">
        <f>IF($A786="", "", $AI786 * Premissas!$B$12)</f>
        <v/>
      </c>
      <c r="AK786" s="47" t="str">
        <f t="shared" si="13"/>
        <v/>
      </c>
      <c r="AL786" s="47"/>
      <c r="AM786" s="47"/>
    </row>
    <row r="787" ht="15.75" customHeight="1">
      <c r="K787" s="47" t="str">
        <f>IF($A787="", "", IFERROR($E787 * ($I787/$B787) * Premissas!$B$6, 0))</f>
        <v/>
      </c>
      <c r="L787" s="47" t="str">
        <f>IF($A787="", "", IFERROR(($E787 * Premissas!$B$4 * ($I787/$B787) + $E786 * Premissas!$B$5 * ($I786/$B786)) * Premissas!$B$7, 0))</f>
        <v/>
      </c>
      <c r="AI787" s="47" t="str">
        <f>IF($A787="", "", IFERROR(($I787 * Premissas!$B$5) + ($E787 * ($I787/$B787) * Premissas!$B$4 * 12), 0))</f>
        <v/>
      </c>
      <c r="AJ787" s="47" t="str">
        <f>IF($A787="", "", $AI787 * Premissas!$B$12)</f>
        <v/>
      </c>
      <c r="AK787" s="47" t="str">
        <f t="shared" si="13"/>
        <v/>
      </c>
      <c r="AL787" s="47"/>
      <c r="AM787" s="47"/>
    </row>
    <row r="788" ht="15.75" customHeight="1">
      <c r="K788" s="47" t="str">
        <f>IF($A788="", "", IFERROR($E788 * ($I788/$B788) * Premissas!$B$6, 0))</f>
        <v/>
      </c>
      <c r="L788" s="47" t="str">
        <f>IF($A788="", "", IFERROR(($E788 * Premissas!$B$4 * ($I788/$B788) + $E787 * Premissas!$B$5 * ($I787/$B787)) * Premissas!$B$7, 0))</f>
        <v/>
      </c>
      <c r="AI788" s="47" t="str">
        <f>IF($A788="", "", IFERROR(($I788 * Premissas!$B$5) + ($E788 * ($I788/$B788) * Premissas!$B$4 * 12), 0))</f>
        <v/>
      </c>
      <c r="AJ788" s="47" t="str">
        <f>IF($A788="", "", $AI788 * Premissas!$B$12)</f>
        <v/>
      </c>
      <c r="AK788" s="47" t="str">
        <f t="shared" si="13"/>
        <v/>
      </c>
      <c r="AL788" s="47"/>
      <c r="AM788" s="47"/>
    </row>
    <row r="789" ht="15.75" customHeight="1">
      <c r="K789" s="47" t="str">
        <f>IF($A789="", "", IFERROR($E789 * ($I789/$B789) * Premissas!$B$6, 0))</f>
        <v/>
      </c>
      <c r="L789" s="47" t="str">
        <f>IF($A789="", "", IFERROR(($E789 * Premissas!$B$4 * ($I789/$B789) + $E788 * Premissas!$B$5 * ($I788/$B788)) * Premissas!$B$7, 0))</f>
        <v/>
      </c>
      <c r="AI789" s="47" t="str">
        <f>IF($A789="", "", IFERROR(($I789 * Premissas!$B$5) + ($E789 * ($I789/$B789) * Premissas!$B$4 * 12), 0))</f>
        <v/>
      </c>
      <c r="AJ789" s="47" t="str">
        <f>IF($A789="", "", $AI789 * Premissas!$B$12)</f>
        <v/>
      </c>
      <c r="AK789" s="47" t="str">
        <f t="shared" si="13"/>
        <v/>
      </c>
      <c r="AL789" s="47"/>
      <c r="AM789" s="47"/>
    </row>
    <row r="790" ht="15.75" customHeight="1">
      <c r="K790" s="47" t="str">
        <f>IF($A790="", "", IFERROR($E790 * ($I790/$B790) * Premissas!$B$6, 0))</f>
        <v/>
      </c>
      <c r="L790" s="47" t="str">
        <f>IF($A790="", "", IFERROR(($E790 * Premissas!$B$4 * ($I790/$B790) + $E789 * Premissas!$B$5 * ($I789/$B789)) * Premissas!$B$7, 0))</f>
        <v/>
      </c>
      <c r="AI790" s="47" t="str">
        <f>IF($A790="", "", IFERROR(($I790 * Premissas!$B$5) + ($E790 * ($I790/$B790) * Premissas!$B$4 * 12), 0))</f>
        <v/>
      </c>
      <c r="AJ790" s="47" t="str">
        <f>IF($A790="", "", $AI790 * Premissas!$B$12)</f>
        <v/>
      </c>
      <c r="AK790" s="47" t="str">
        <f t="shared" si="13"/>
        <v/>
      </c>
      <c r="AL790" s="47"/>
      <c r="AM790" s="47"/>
    </row>
    <row r="791" ht="15.75" customHeight="1">
      <c r="K791" s="47" t="str">
        <f>IF($A791="", "", IFERROR($E791 * ($I791/$B791) * Premissas!$B$6, 0))</f>
        <v/>
      </c>
      <c r="L791" s="47" t="str">
        <f>IF($A791="", "", IFERROR(($E791 * Premissas!$B$4 * ($I791/$B791) + $E790 * Premissas!$B$5 * ($I790/$B790)) * Premissas!$B$7, 0))</f>
        <v/>
      </c>
      <c r="AI791" s="47" t="str">
        <f>IF($A791="", "", IFERROR(($I791 * Premissas!$B$5) + ($E791 * ($I791/$B791) * Premissas!$B$4 * 12), 0))</f>
        <v/>
      </c>
      <c r="AJ791" s="47" t="str">
        <f>IF($A791="", "", $AI791 * Premissas!$B$12)</f>
        <v/>
      </c>
      <c r="AK791" s="47" t="str">
        <f t="shared" si="13"/>
        <v/>
      </c>
      <c r="AL791" s="47"/>
      <c r="AM791" s="47"/>
    </row>
    <row r="792" ht="15.75" customHeight="1">
      <c r="K792" s="47" t="str">
        <f>IF($A792="", "", IFERROR($E792 * ($I792/$B792) * Premissas!$B$6, 0))</f>
        <v/>
      </c>
      <c r="L792" s="47" t="str">
        <f>IF($A792="", "", IFERROR(($E792 * Premissas!$B$4 * ($I792/$B792) + $E791 * Premissas!$B$5 * ($I791/$B791)) * Premissas!$B$7, 0))</f>
        <v/>
      </c>
      <c r="AI792" s="47" t="str">
        <f>IF($A792="", "", IFERROR(($I792 * Premissas!$B$5) + ($E792 * ($I792/$B792) * Premissas!$B$4 * 12), 0))</f>
        <v/>
      </c>
      <c r="AJ792" s="47" t="str">
        <f>IF($A792="", "", $AI792 * Premissas!$B$12)</f>
        <v/>
      </c>
      <c r="AK792" s="47" t="str">
        <f t="shared" si="13"/>
        <v/>
      </c>
      <c r="AL792" s="47"/>
      <c r="AM792" s="47"/>
    </row>
    <row r="793" ht="15.75" customHeight="1">
      <c r="K793" s="47" t="str">
        <f>IF($A793="", "", IFERROR($E793 * ($I793/$B793) * Premissas!$B$6, 0))</f>
        <v/>
      </c>
      <c r="L793" s="47" t="str">
        <f>IF($A793="", "", IFERROR(($E793 * Premissas!$B$4 * ($I793/$B793) + $E792 * Premissas!$B$5 * ($I792/$B792)) * Premissas!$B$7, 0))</f>
        <v/>
      </c>
      <c r="AI793" s="47" t="str">
        <f>IF($A793="", "", IFERROR(($I793 * Premissas!$B$5) + ($E793 * ($I793/$B793) * Premissas!$B$4 * 12), 0))</f>
        <v/>
      </c>
      <c r="AJ793" s="47" t="str">
        <f>IF($A793="", "", $AI793 * Premissas!$B$12)</f>
        <v/>
      </c>
      <c r="AK793" s="47" t="str">
        <f t="shared" si="13"/>
        <v/>
      </c>
      <c r="AL793" s="47"/>
      <c r="AM793" s="47"/>
    </row>
    <row r="794" ht="15.75" customHeight="1">
      <c r="K794" s="47" t="str">
        <f>IF($A794="", "", IFERROR($E794 * ($I794/$B794) * Premissas!$B$6, 0))</f>
        <v/>
      </c>
      <c r="L794" s="47" t="str">
        <f>IF($A794="", "", IFERROR(($E794 * Premissas!$B$4 * ($I794/$B794) + $E793 * Premissas!$B$5 * ($I793/$B793)) * Premissas!$B$7, 0))</f>
        <v/>
      </c>
      <c r="AI794" s="47" t="str">
        <f>IF($A794="", "", IFERROR(($I794 * Premissas!$B$5) + ($E794 * ($I794/$B794) * Premissas!$B$4 * 12), 0))</f>
        <v/>
      </c>
      <c r="AJ794" s="47" t="str">
        <f>IF($A794="", "", $AI794 * Premissas!$B$12)</f>
        <v/>
      </c>
      <c r="AK794" s="47" t="str">
        <f t="shared" si="13"/>
        <v/>
      </c>
      <c r="AL794" s="47"/>
      <c r="AM794" s="47"/>
    </row>
    <row r="795" ht="15.75" customHeight="1">
      <c r="K795" s="47" t="str">
        <f>IF($A795="", "", IFERROR($E795 * ($I795/$B795) * Premissas!$B$6, 0))</f>
        <v/>
      </c>
      <c r="L795" s="47" t="str">
        <f>IF($A795="", "", IFERROR(($E795 * Premissas!$B$4 * ($I795/$B795) + $E794 * Premissas!$B$5 * ($I794/$B794)) * Premissas!$B$7, 0))</f>
        <v/>
      </c>
      <c r="AI795" s="47" t="str">
        <f>IF($A795="", "", IFERROR(($I795 * Premissas!$B$5) + ($E795 * ($I795/$B795) * Premissas!$B$4 * 12), 0))</f>
        <v/>
      </c>
      <c r="AJ795" s="47" t="str">
        <f>IF($A795="", "", $AI795 * Premissas!$B$12)</f>
        <v/>
      </c>
      <c r="AK795" s="47" t="str">
        <f t="shared" si="13"/>
        <v/>
      </c>
      <c r="AL795" s="47"/>
      <c r="AM795" s="47"/>
    </row>
    <row r="796" ht="15.75" customHeight="1">
      <c r="K796" s="47" t="str">
        <f>IF($A796="", "", IFERROR($E796 * ($I796/$B796) * Premissas!$B$6, 0))</f>
        <v/>
      </c>
      <c r="L796" s="47" t="str">
        <f>IF($A796="", "", IFERROR(($E796 * Premissas!$B$4 * ($I796/$B796) + $E795 * Premissas!$B$5 * ($I795/$B795)) * Premissas!$B$7, 0))</f>
        <v/>
      </c>
      <c r="AI796" s="47" t="str">
        <f>IF($A796="", "", IFERROR(($I796 * Premissas!$B$5) + ($E796 * ($I796/$B796) * Premissas!$B$4 * 12), 0))</f>
        <v/>
      </c>
      <c r="AJ796" s="47" t="str">
        <f>IF($A796="", "", $AI796 * Premissas!$B$12)</f>
        <v/>
      </c>
      <c r="AK796" s="47" t="str">
        <f t="shared" si="13"/>
        <v/>
      </c>
      <c r="AL796" s="47"/>
      <c r="AM796" s="47"/>
    </row>
    <row r="797" ht="15.75" customHeight="1">
      <c r="K797" s="47" t="str">
        <f>IF($A797="", "", IFERROR($E797 * ($I797/$B797) * Premissas!$B$6, 0))</f>
        <v/>
      </c>
      <c r="L797" s="47" t="str">
        <f>IF($A797="", "", IFERROR(($E797 * Premissas!$B$4 * ($I797/$B797) + $E796 * Premissas!$B$5 * ($I796/$B796)) * Premissas!$B$7, 0))</f>
        <v/>
      </c>
      <c r="AI797" s="47" t="str">
        <f>IF($A797="", "", IFERROR(($I797 * Premissas!$B$5) + ($E797 * ($I797/$B797) * Premissas!$B$4 * 12), 0))</f>
        <v/>
      </c>
      <c r="AJ797" s="47" t="str">
        <f>IF($A797="", "", $AI797 * Premissas!$B$12)</f>
        <v/>
      </c>
      <c r="AK797" s="47" t="str">
        <f t="shared" si="13"/>
        <v/>
      </c>
      <c r="AL797" s="47"/>
      <c r="AM797" s="47"/>
    </row>
    <row r="798" ht="15.75" customHeight="1">
      <c r="K798" s="47" t="str">
        <f>IF($A798="", "", IFERROR($E798 * ($I798/$B798) * Premissas!$B$6, 0))</f>
        <v/>
      </c>
      <c r="L798" s="47" t="str">
        <f>IF($A798="", "", IFERROR(($E798 * Premissas!$B$4 * ($I798/$B798) + $E797 * Premissas!$B$5 * ($I797/$B797)) * Premissas!$B$7, 0))</f>
        <v/>
      </c>
      <c r="AI798" s="47" t="str">
        <f>IF($A798="", "", IFERROR(($I798 * Premissas!$B$5) + ($E798 * ($I798/$B798) * Premissas!$B$4 * 12), 0))</f>
        <v/>
      </c>
      <c r="AJ798" s="47" t="str">
        <f>IF($A798="", "", $AI798 * Premissas!$B$12)</f>
        <v/>
      </c>
      <c r="AK798" s="47" t="str">
        <f t="shared" si="13"/>
        <v/>
      </c>
      <c r="AL798" s="47"/>
      <c r="AM798" s="47"/>
    </row>
    <row r="799" ht="15.75" customHeight="1">
      <c r="K799" s="47" t="str">
        <f>IF($A799="", "", IFERROR($E799 * ($I799/$B799) * Premissas!$B$6, 0))</f>
        <v/>
      </c>
      <c r="L799" s="47" t="str">
        <f>IF($A799="", "", IFERROR(($E799 * Premissas!$B$4 * ($I799/$B799) + $E798 * Premissas!$B$5 * ($I798/$B798)) * Premissas!$B$7, 0))</f>
        <v/>
      </c>
      <c r="AI799" s="47" t="str">
        <f>IF($A799="", "", IFERROR(($I799 * Premissas!$B$5) + ($E799 * ($I799/$B799) * Premissas!$B$4 * 12), 0))</f>
        <v/>
      </c>
      <c r="AJ799" s="47" t="str">
        <f>IF($A799="", "", $AI799 * Premissas!$B$12)</f>
        <v/>
      </c>
      <c r="AK799" s="47" t="str">
        <f t="shared" si="13"/>
        <v/>
      </c>
      <c r="AL799" s="47"/>
      <c r="AM799" s="47"/>
    </row>
    <row r="800" ht="15.75" customHeight="1">
      <c r="K800" s="47" t="str">
        <f>IF($A800="", "", IFERROR($E800 * ($I800/$B800) * Premissas!$B$6, 0))</f>
        <v/>
      </c>
      <c r="L800" s="47" t="str">
        <f>IF($A800="", "", IFERROR(($E800 * Premissas!$B$4 * ($I800/$B800) + $E799 * Premissas!$B$5 * ($I799/$B799)) * Premissas!$B$7, 0))</f>
        <v/>
      </c>
      <c r="AI800" s="47" t="str">
        <f>IF($A800="", "", IFERROR(($I800 * Premissas!$B$5) + ($E800 * ($I800/$B800) * Premissas!$B$4 * 12), 0))</f>
        <v/>
      </c>
      <c r="AJ800" s="47" t="str">
        <f>IF($A800="", "", $AI800 * Premissas!$B$12)</f>
        <v/>
      </c>
      <c r="AK800" s="47" t="str">
        <f t="shared" si="13"/>
        <v/>
      </c>
      <c r="AL800" s="47"/>
      <c r="AM800" s="47"/>
    </row>
    <row r="801" ht="15.75" customHeight="1">
      <c r="K801" s="47" t="str">
        <f>IF($A801="", "", IFERROR($E801 * ($I801/$B801) * Premissas!$B$6, 0))</f>
        <v/>
      </c>
      <c r="L801" s="47" t="str">
        <f>IF($A801="", "", IFERROR(($E801 * Premissas!$B$4 * ($I801/$B801) + $E800 * Premissas!$B$5 * ($I800/$B800)) * Premissas!$B$7, 0))</f>
        <v/>
      </c>
      <c r="AI801" s="47" t="str">
        <f>IF($A801="", "", IFERROR(($I801 * Premissas!$B$5) + ($E801 * ($I801/$B801) * Premissas!$B$4 * 12), 0))</f>
        <v/>
      </c>
      <c r="AJ801" s="47" t="str">
        <f>IF($A801="", "", $AI801 * Premissas!$B$12)</f>
        <v/>
      </c>
      <c r="AK801" s="47" t="str">
        <f t="shared" si="13"/>
        <v/>
      </c>
      <c r="AL801" s="47"/>
      <c r="AM801" s="47"/>
    </row>
    <row r="802" ht="15.75" customHeight="1">
      <c r="K802" s="47" t="str">
        <f>IF($A802="", "", IFERROR($E802 * ($I802/$B802) * Premissas!$B$6, 0))</f>
        <v/>
      </c>
      <c r="L802" s="47" t="str">
        <f>IF($A802="", "", IFERROR(($E802 * Premissas!$B$4 * ($I802/$B802) + $E801 * Premissas!$B$5 * ($I801/$B801)) * Premissas!$B$7, 0))</f>
        <v/>
      </c>
      <c r="AI802" s="47" t="str">
        <f>IF($A802="", "", IFERROR(($I802 * Premissas!$B$5) + ($E802 * ($I802/$B802) * Premissas!$B$4 * 12), 0))</f>
        <v/>
      </c>
      <c r="AJ802" s="47" t="str">
        <f>IF($A802="", "", $AI802 * Premissas!$B$12)</f>
        <v/>
      </c>
      <c r="AK802" s="47" t="str">
        <f t="shared" si="13"/>
        <v/>
      </c>
      <c r="AL802" s="47"/>
      <c r="AM802" s="47"/>
    </row>
    <row r="803" ht="15.75" customHeight="1">
      <c r="K803" s="47" t="str">
        <f>IF($A803="", "", IFERROR($E803 * ($I803/$B803) * Premissas!$B$6, 0))</f>
        <v/>
      </c>
      <c r="L803" s="47" t="str">
        <f>IF($A803="", "", IFERROR(($E803 * Premissas!$B$4 * ($I803/$B803) + $E802 * Premissas!$B$5 * ($I802/$B802)) * Premissas!$B$7, 0))</f>
        <v/>
      </c>
      <c r="AI803" s="47" t="str">
        <f>IF($A803="", "", IFERROR(($I803 * Premissas!$B$5) + ($E803 * ($I803/$B803) * Premissas!$B$4 * 12), 0))</f>
        <v/>
      </c>
      <c r="AJ803" s="47" t="str">
        <f>IF($A803="", "", $AI803 * Premissas!$B$12)</f>
        <v/>
      </c>
      <c r="AK803" s="47" t="str">
        <f t="shared" si="13"/>
        <v/>
      </c>
      <c r="AL803" s="47"/>
      <c r="AM803" s="47"/>
    </row>
    <row r="804" ht="15.75" customHeight="1">
      <c r="K804" s="47" t="str">
        <f>IF($A804="", "", IFERROR($E804 * ($I804/$B804) * Premissas!$B$6, 0))</f>
        <v/>
      </c>
      <c r="L804" s="47" t="str">
        <f>IF($A804="", "", IFERROR(($E804 * Premissas!$B$4 * ($I804/$B804) + $E803 * Premissas!$B$5 * ($I803/$B803)) * Premissas!$B$7, 0))</f>
        <v/>
      </c>
      <c r="AI804" s="47" t="str">
        <f>IF($A804="", "", IFERROR(($I804 * Premissas!$B$5) + ($E804 * ($I804/$B804) * Premissas!$B$4 * 12), 0))</f>
        <v/>
      </c>
      <c r="AJ804" s="47" t="str">
        <f>IF($A804="", "", $AI804 * Premissas!$B$12)</f>
        <v/>
      </c>
      <c r="AK804" s="47" t="str">
        <f t="shared" si="13"/>
        <v/>
      </c>
      <c r="AL804" s="47"/>
      <c r="AM804" s="47"/>
    </row>
    <row r="805" ht="15.75" customHeight="1">
      <c r="K805" s="47" t="str">
        <f>IF($A805="", "", IFERROR($E805 * ($I805/$B805) * Premissas!$B$6, 0))</f>
        <v/>
      </c>
      <c r="L805" s="47" t="str">
        <f>IF($A805="", "", IFERROR(($E805 * Premissas!$B$4 * ($I805/$B805) + $E804 * Premissas!$B$5 * ($I804/$B804)) * Premissas!$B$7, 0))</f>
        <v/>
      </c>
      <c r="AI805" s="47" t="str">
        <f>IF($A805="", "", IFERROR(($I805 * Premissas!$B$5) + ($E805 * ($I805/$B805) * Premissas!$B$4 * 12), 0))</f>
        <v/>
      </c>
      <c r="AJ805" s="47" t="str">
        <f>IF($A805="", "", $AI805 * Premissas!$B$12)</f>
        <v/>
      </c>
      <c r="AK805" s="47" t="str">
        <f t="shared" si="13"/>
        <v/>
      </c>
      <c r="AL805" s="47"/>
      <c r="AM805" s="47"/>
    </row>
    <row r="806" ht="15.75" customHeight="1">
      <c r="K806" s="47" t="str">
        <f>IF($A806="", "", IFERROR($E806 * ($I806/$B806) * Premissas!$B$6, 0))</f>
        <v/>
      </c>
      <c r="L806" s="47" t="str">
        <f>IF($A806="", "", IFERROR(($E806 * Premissas!$B$4 * ($I806/$B806) + $E805 * Premissas!$B$5 * ($I805/$B805)) * Premissas!$B$7, 0))</f>
        <v/>
      </c>
      <c r="AI806" s="47" t="str">
        <f>IF($A806="", "", IFERROR(($I806 * Premissas!$B$5) + ($E806 * ($I806/$B806) * Premissas!$B$4 * 12), 0))</f>
        <v/>
      </c>
      <c r="AJ806" s="47" t="str">
        <f>IF($A806="", "", $AI806 * Premissas!$B$12)</f>
        <v/>
      </c>
      <c r="AK806" s="47" t="str">
        <f t="shared" si="13"/>
        <v/>
      </c>
      <c r="AL806" s="47"/>
      <c r="AM806" s="47"/>
    </row>
    <row r="807" ht="15.75" customHeight="1">
      <c r="K807" s="47" t="str">
        <f>IF($A807="", "", IFERROR($E807 * ($I807/$B807) * Premissas!$B$6, 0))</f>
        <v/>
      </c>
      <c r="L807" s="47" t="str">
        <f>IF($A807="", "", IFERROR(($E807 * Premissas!$B$4 * ($I807/$B807) + $E806 * Premissas!$B$5 * ($I806/$B806)) * Premissas!$B$7, 0))</f>
        <v/>
      </c>
      <c r="AI807" s="47" t="str">
        <f>IF($A807="", "", IFERROR(($I807 * Premissas!$B$5) + ($E807 * ($I807/$B807) * Premissas!$B$4 * 12), 0))</f>
        <v/>
      </c>
      <c r="AJ807" s="47" t="str">
        <f>IF($A807="", "", $AI807 * Premissas!$B$12)</f>
        <v/>
      </c>
      <c r="AK807" s="47" t="str">
        <f t="shared" si="13"/>
        <v/>
      </c>
      <c r="AL807" s="47"/>
      <c r="AM807" s="47"/>
    </row>
    <row r="808" ht="15.75" customHeight="1">
      <c r="K808" s="47" t="str">
        <f>IF($A808="", "", IFERROR($E808 * ($I808/$B808) * Premissas!$B$6, 0))</f>
        <v/>
      </c>
      <c r="L808" s="47" t="str">
        <f>IF($A808="", "", IFERROR(($E808 * Premissas!$B$4 * ($I808/$B808) + $E807 * Premissas!$B$5 * ($I807/$B807)) * Premissas!$B$7, 0))</f>
        <v/>
      </c>
      <c r="AI808" s="47" t="str">
        <f>IF($A808="", "", IFERROR(($I808 * Premissas!$B$5) + ($E808 * ($I808/$B808) * Premissas!$B$4 * 12), 0))</f>
        <v/>
      </c>
      <c r="AJ808" s="47" t="str">
        <f>IF($A808="", "", $AI808 * Premissas!$B$12)</f>
        <v/>
      </c>
      <c r="AK808" s="47" t="str">
        <f t="shared" si="13"/>
        <v/>
      </c>
      <c r="AL808" s="47"/>
      <c r="AM808" s="47"/>
    </row>
    <row r="809" ht="15.75" customHeight="1">
      <c r="K809" s="47" t="str">
        <f>IF($A809="", "", IFERROR($E809 * ($I809/$B809) * Premissas!$B$6, 0))</f>
        <v/>
      </c>
      <c r="L809" s="47" t="str">
        <f>IF($A809="", "", IFERROR(($E809 * Premissas!$B$4 * ($I809/$B809) + $E808 * Premissas!$B$5 * ($I808/$B808)) * Premissas!$B$7, 0))</f>
        <v/>
      </c>
      <c r="AI809" s="47" t="str">
        <f>IF($A809="", "", IFERROR(($I809 * Premissas!$B$5) + ($E809 * ($I809/$B809) * Premissas!$B$4 * 12), 0))</f>
        <v/>
      </c>
      <c r="AJ809" s="47" t="str">
        <f>IF($A809="", "", $AI809 * Premissas!$B$12)</f>
        <v/>
      </c>
      <c r="AK809" s="47" t="str">
        <f t="shared" si="13"/>
        <v/>
      </c>
      <c r="AL809" s="47"/>
      <c r="AM809" s="47"/>
    </row>
    <row r="810" ht="15.75" customHeight="1">
      <c r="K810" s="47" t="str">
        <f>IF($A810="", "", IFERROR($E810 * ($I810/$B810) * Premissas!$B$6, 0))</f>
        <v/>
      </c>
      <c r="L810" s="47" t="str">
        <f>IF($A810="", "", IFERROR(($E810 * Premissas!$B$4 * ($I810/$B810) + $E809 * Premissas!$B$5 * ($I809/$B809)) * Premissas!$B$7, 0))</f>
        <v/>
      </c>
      <c r="AI810" s="47" t="str">
        <f>IF($A810="", "", IFERROR(($I810 * Premissas!$B$5) + ($E810 * ($I810/$B810) * Premissas!$B$4 * 12), 0))</f>
        <v/>
      </c>
      <c r="AJ810" s="47" t="str">
        <f>IF($A810="", "", $AI810 * Premissas!$B$12)</f>
        <v/>
      </c>
      <c r="AK810" s="47" t="str">
        <f t="shared" si="13"/>
        <v/>
      </c>
      <c r="AL810" s="47"/>
      <c r="AM810" s="47"/>
    </row>
    <row r="811" ht="15.75" customHeight="1">
      <c r="K811" s="47" t="str">
        <f>IF($A811="", "", IFERROR($E811 * ($I811/$B811) * Premissas!$B$6, 0))</f>
        <v/>
      </c>
      <c r="L811" s="47" t="str">
        <f>IF($A811="", "", IFERROR(($E811 * Premissas!$B$4 * ($I811/$B811) + $E810 * Premissas!$B$5 * ($I810/$B810)) * Premissas!$B$7, 0))</f>
        <v/>
      </c>
      <c r="AI811" s="47" t="str">
        <f>IF($A811="", "", IFERROR(($I811 * Premissas!$B$5) + ($E811 * ($I811/$B811) * Premissas!$B$4 * 12), 0))</f>
        <v/>
      </c>
      <c r="AJ811" s="47" t="str">
        <f>IF($A811="", "", $AI811 * Premissas!$B$12)</f>
        <v/>
      </c>
      <c r="AK811" s="47" t="str">
        <f t="shared" si="13"/>
        <v/>
      </c>
      <c r="AL811" s="47"/>
      <c r="AM811" s="47"/>
    </row>
    <row r="812" ht="15.75" customHeight="1">
      <c r="K812" s="47" t="str">
        <f>IF($A812="", "", IFERROR($E812 * ($I812/$B812) * Premissas!$B$6, 0))</f>
        <v/>
      </c>
      <c r="L812" s="47" t="str">
        <f>IF($A812="", "", IFERROR(($E812 * Premissas!$B$4 * ($I812/$B812) + $E811 * Premissas!$B$5 * ($I811/$B811)) * Premissas!$B$7, 0))</f>
        <v/>
      </c>
      <c r="AI812" s="47" t="str">
        <f>IF($A812="", "", IFERROR(($I812 * Premissas!$B$5) + ($E812 * ($I812/$B812) * Premissas!$B$4 * 12), 0))</f>
        <v/>
      </c>
      <c r="AJ812" s="47" t="str">
        <f>IF($A812="", "", $AI812 * Premissas!$B$12)</f>
        <v/>
      </c>
      <c r="AK812" s="47" t="str">
        <f t="shared" si="13"/>
        <v/>
      </c>
      <c r="AL812" s="47"/>
      <c r="AM812" s="47"/>
    </row>
    <row r="813" ht="15.75" customHeight="1">
      <c r="K813" s="47" t="str">
        <f>IF($A813="", "", IFERROR($E813 * ($I813/$B813) * Premissas!$B$6, 0))</f>
        <v/>
      </c>
      <c r="L813" s="47" t="str">
        <f>IF($A813="", "", IFERROR(($E813 * Premissas!$B$4 * ($I813/$B813) + $E812 * Premissas!$B$5 * ($I812/$B812)) * Premissas!$B$7, 0))</f>
        <v/>
      </c>
      <c r="AI813" s="47" t="str">
        <f>IF($A813="", "", IFERROR(($I813 * Premissas!$B$5) + ($E813 * ($I813/$B813) * Premissas!$B$4 * 12), 0))</f>
        <v/>
      </c>
      <c r="AJ813" s="47" t="str">
        <f>IF($A813="", "", $AI813 * Premissas!$B$12)</f>
        <v/>
      </c>
      <c r="AK813" s="47" t="str">
        <f t="shared" si="13"/>
        <v/>
      </c>
      <c r="AL813" s="47"/>
      <c r="AM813" s="47"/>
    </row>
    <row r="814" ht="15.75" customHeight="1">
      <c r="K814" s="47" t="str">
        <f>IF($A814="", "", IFERROR($E814 * ($I814/$B814) * Premissas!$B$6, 0))</f>
        <v/>
      </c>
      <c r="L814" s="47" t="str">
        <f>IF($A814="", "", IFERROR(($E814 * Premissas!$B$4 * ($I814/$B814) + $E813 * Premissas!$B$5 * ($I813/$B813)) * Premissas!$B$7, 0))</f>
        <v/>
      </c>
      <c r="AI814" s="47" t="str">
        <f>IF($A814="", "", IFERROR(($I814 * Premissas!$B$5) + ($E814 * ($I814/$B814) * Premissas!$B$4 * 12), 0))</f>
        <v/>
      </c>
      <c r="AJ814" s="47" t="str">
        <f>IF($A814="", "", $AI814 * Premissas!$B$12)</f>
        <v/>
      </c>
      <c r="AK814" s="47" t="str">
        <f t="shared" si="13"/>
        <v/>
      </c>
      <c r="AL814" s="47"/>
      <c r="AM814" s="47"/>
    </row>
    <row r="815" ht="15.75" customHeight="1">
      <c r="K815" s="47" t="str">
        <f>IF($A815="", "", IFERROR($E815 * ($I815/$B815) * Premissas!$B$6, 0))</f>
        <v/>
      </c>
      <c r="L815" s="47" t="str">
        <f>IF($A815="", "", IFERROR(($E815 * Premissas!$B$4 * ($I815/$B815) + $E814 * Premissas!$B$5 * ($I814/$B814)) * Premissas!$B$7, 0))</f>
        <v/>
      </c>
      <c r="AI815" s="47" t="str">
        <f>IF($A815="", "", IFERROR(($I815 * Premissas!$B$5) + ($E815 * ($I815/$B815) * Premissas!$B$4 * 12), 0))</f>
        <v/>
      </c>
      <c r="AJ815" s="47" t="str">
        <f>IF($A815="", "", $AI815 * Premissas!$B$12)</f>
        <v/>
      </c>
      <c r="AK815" s="47" t="str">
        <f t="shared" si="13"/>
        <v/>
      </c>
      <c r="AL815" s="47"/>
      <c r="AM815" s="47"/>
    </row>
    <row r="816" ht="15.75" customHeight="1">
      <c r="K816" s="47" t="str">
        <f>IF($A816="", "", IFERROR($E816 * ($I816/$B816) * Premissas!$B$6, 0))</f>
        <v/>
      </c>
      <c r="L816" s="47" t="str">
        <f>IF($A816="", "", IFERROR(($E816 * Premissas!$B$4 * ($I816/$B816) + $E815 * Premissas!$B$5 * ($I815/$B815)) * Premissas!$B$7, 0))</f>
        <v/>
      </c>
      <c r="AI816" s="47" t="str">
        <f>IF($A816="", "", IFERROR(($I816 * Premissas!$B$5) + ($E816 * ($I816/$B816) * Premissas!$B$4 * 12), 0))</f>
        <v/>
      </c>
      <c r="AJ816" s="47" t="str">
        <f>IF($A816="", "", $AI816 * Premissas!$B$12)</f>
        <v/>
      </c>
      <c r="AK816" s="47" t="str">
        <f t="shared" si="13"/>
        <v/>
      </c>
      <c r="AL816" s="47"/>
      <c r="AM816" s="47"/>
    </row>
    <row r="817" ht="15.75" customHeight="1">
      <c r="K817" s="47" t="str">
        <f>IF($A817="", "", IFERROR($E817 * ($I817/$B817) * Premissas!$B$6, 0))</f>
        <v/>
      </c>
      <c r="L817" s="47" t="str">
        <f>IF($A817="", "", IFERROR(($E817 * Premissas!$B$4 * ($I817/$B817) + $E816 * Premissas!$B$5 * ($I816/$B816)) * Premissas!$B$7, 0))</f>
        <v/>
      </c>
      <c r="AI817" s="47" t="str">
        <f>IF($A817="", "", IFERROR(($I817 * Premissas!$B$5) + ($E817 * ($I817/$B817) * Premissas!$B$4 * 12), 0))</f>
        <v/>
      </c>
      <c r="AJ817" s="47" t="str">
        <f>IF($A817="", "", $AI817 * Premissas!$B$12)</f>
        <v/>
      </c>
      <c r="AK817" s="47" t="str">
        <f t="shared" si="13"/>
        <v/>
      </c>
      <c r="AL817" s="47"/>
      <c r="AM817" s="47"/>
    </row>
    <row r="818" ht="15.75" customHeight="1">
      <c r="K818" s="47" t="str">
        <f>IF($A818="", "", IFERROR($E818 * ($I818/$B818) * Premissas!$B$6, 0))</f>
        <v/>
      </c>
      <c r="L818" s="47" t="str">
        <f>IF($A818="", "", IFERROR(($E818 * Premissas!$B$4 * ($I818/$B818) + $E817 * Premissas!$B$5 * ($I817/$B817)) * Premissas!$B$7, 0))</f>
        <v/>
      </c>
      <c r="AI818" s="47" t="str">
        <f>IF($A818="", "", IFERROR(($I818 * Premissas!$B$5) + ($E818 * ($I818/$B818) * Premissas!$B$4 * 12), 0))</f>
        <v/>
      </c>
      <c r="AJ818" s="47" t="str">
        <f>IF($A818="", "", $AI818 * Premissas!$B$12)</f>
        <v/>
      </c>
      <c r="AK818" s="47" t="str">
        <f t="shared" si="13"/>
        <v/>
      </c>
      <c r="AL818" s="47"/>
      <c r="AM818" s="47"/>
    </row>
    <row r="819" ht="15.75" customHeight="1">
      <c r="K819" s="47" t="str">
        <f>IF($A819="", "", IFERROR($E819 * ($I819/$B819) * Premissas!$B$6, 0))</f>
        <v/>
      </c>
      <c r="L819" s="47" t="str">
        <f>IF($A819="", "", IFERROR(($E819 * Premissas!$B$4 * ($I819/$B819) + $E818 * Premissas!$B$5 * ($I818/$B818)) * Premissas!$B$7, 0))</f>
        <v/>
      </c>
      <c r="AI819" s="47" t="str">
        <f>IF($A819="", "", IFERROR(($I819 * Premissas!$B$5) + ($E819 * ($I819/$B819) * Premissas!$B$4 * 12), 0))</f>
        <v/>
      </c>
      <c r="AJ819" s="47" t="str">
        <f>IF($A819="", "", $AI819 * Premissas!$B$12)</f>
        <v/>
      </c>
      <c r="AK819" s="47" t="str">
        <f t="shared" si="13"/>
        <v/>
      </c>
      <c r="AL819" s="47"/>
      <c r="AM819" s="47"/>
    </row>
    <row r="820" ht="15.75" customHeight="1">
      <c r="K820" s="47" t="str">
        <f>IF($A820="", "", IFERROR($E820 * ($I820/$B820) * Premissas!$B$6, 0))</f>
        <v/>
      </c>
      <c r="L820" s="47" t="str">
        <f>IF($A820="", "", IFERROR(($E820 * Premissas!$B$4 * ($I820/$B820) + $E819 * Premissas!$B$5 * ($I819/$B819)) * Premissas!$B$7, 0))</f>
        <v/>
      </c>
      <c r="AI820" s="47" t="str">
        <f>IF($A820="", "", IFERROR(($I820 * Premissas!$B$5) + ($E820 * ($I820/$B820) * Premissas!$B$4 * 12), 0))</f>
        <v/>
      </c>
      <c r="AJ820" s="47" t="str">
        <f>IF($A820="", "", $AI820 * Premissas!$B$12)</f>
        <v/>
      </c>
      <c r="AK820" s="47" t="str">
        <f t="shared" si="13"/>
        <v/>
      </c>
      <c r="AL820" s="47"/>
      <c r="AM820" s="47"/>
    </row>
    <row r="821" ht="15.75" customHeight="1">
      <c r="K821" s="47" t="str">
        <f>IF($A821="", "", IFERROR($E821 * ($I821/$B821) * Premissas!$B$6, 0))</f>
        <v/>
      </c>
      <c r="L821" s="47" t="str">
        <f>IF($A821="", "", IFERROR(($E821 * Premissas!$B$4 * ($I821/$B821) + $E820 * Premissas!$B$5 * ($I820/$B820)) * Premissas!$B$7, 0))</f>
        <v/>
      </c>
      <c r="AI821" s="47" t="str">
        <f>IF($A821="", "", IFERROR(($I821 * Premissas!$B$5) + ($E821 * ($I821/$B821) * Premissas!$B$4 * 12), 0))</f>
        <v/>
      </c>
      <c r="AJ821" s="47" t="str">
        <f>IF($A821="", "", $AI821 * Premissas!$B$12)</f>
        <v/>
      </c>
      <c r="AK821" s="47" t="str">
        <f t="shared" si="13"/>
        <v/>
      </c>
      <c r="AL821" s="47"/>
      <c r="AM821" s="47"/>
    </row>
    <row r="822" ht="15.75" customHeight="1">
      <c r="K822" s="47" t="str">
        <f>IF($A822="", "", IFERROR($E822 * ($I822/$B822) * Premissas!$B$6, 0))</f>
        <v/>
      </c>
      <c r="L822" s="47" t="str">
        <f>IF($A822="", "", IFERROR(($E822 * Premissas!$B$4 * ($I822/$B822) + $E821 * Premissas!$B$5 * ($I821/$B821)) * Premissas!$B$7, 0))</f>
        <v/>
      </c>
      <c r="AI822" s="47" t="str">
        <f>IF($A822="", "", IFERROR(($I822 * Premissas!$B$5) + ($E822 * ($I822/$B822) * Premissas!$B$4 * 12), 0))</f>
        <v/>
      </c>
      <c r="AJ822" s="47" t="str">
        <f>IF($A822="", "", $AI822 * Premissas!$B$12)</f>
        <v/>
      </c>
      <c r="AK822" s="47" t="str">
        <f t="shared" si="13"/>
        <v/>
      </c>
      <c r="AL822" s="47"/>
      <c r="AM822" s="47"/>
    </row>
    <row r="823" ht="15.75" customHeight="1">
      <c r="K823" s="47" t="str">
        <f>IF($A823="", "", IFERROR($E823 * ($I823/$B823) * Premissas!$B$6, 0))</f>
        <v/>
      </c>
      <c r="L823" s="47" t="str">
        <f>IF($A823="", "", IFERROR(($E823 * Premissas!$B$4 * ($I823/$B823) + $E822 * Premissas!$B$5 * ($I822/$B822)) * Premissas!$B$7, 0))</f>
        <v/>
      </c>
      <c r="AI823" s="47" t="str">
        <f>IF($A823="", "", IFERROR(($I823 * Premissas!$B$5) + ($E823 * ($I823/$B823) * Premissas!$B$4 * 12), 0))</f>
        <v/>
      </c>
      <c r="AJ823" s="47" t="str">
        <f>IF($A823="", "", $AI823 * Premissas!$B$12)</f>
        <v/>
      </c>
      <c r="AK823" s="47" t="str">
        <f t="shared" si="13"/>
        <v/>
      </c>
      <c r="AL823" s="47"/>
      <c r="AM823" s="47"/>
    </row>
    <row r="824" ht="15.75" customHeight="1">
      <c r="K824" s="47" t="str">
        <f>IF($A824="", "", IFERROR($E824 * ($I824/$B824) * Premissas!$B$6, 0))</f>
        <v/>
      </c>
      <c r="L824" s="47" t="str">
        <f>IF($A824="", "", IFERROR(($E824 * Premissas!$B$4 * ($I824/$B824) + $E823 * Premissas!$B$5 * ($I823/$B823)) * Premissas!$B$7, 0))</f>
        <v/>
      </c>
      <c r="AI824" s="47" t="str">
        <f>IF($A824="", "", IFERROR(($I824 * Premissas!$B$5) + ($E824 * ($I824/$B824) * Premissas!$B$4 * 12), 0))</f>
        <v/>
      </c>
      <c r="AJ824" s="47" t="str">
        <f>IF($A824="", "", $AI824 * Premissas!$B$12)</f>
        <v/>
      </c>
      <c r="AK824" s="47" t="str">
        <f t="shared" si="13"/>
        <v/>
      </c>
      <c r="AL824" s="47"/>
      <c r="AM824" s="47"/>
    </row>
    <row r="825" ht="15.75" customHeight="1">
      <c r="K825" s="47" t="str">
        <f>IF($A825="", "", IFERROR($E825 * ($I825/$B825) * Premissas!$B$6, 0))</f>
        <v/>
      </c>
      <c r="L825" s="47" t="str">
        <f>IF($A825="", "", IFERROR(($E825 * Premissas!$B$4 * ($I825/$B825) + $E824 * Premissas!$B$5 * ($I824/$B824)) * Premissas!$B$7, 0))</f>
        <v/>
      </c>
      <c r="AI825" s="47" t="str">
        <f>IF($A825="", "", IFERROR(($I825 * Premissas!$B$5) + ($E825 * ($I825/$B825) * Premissas!$B$4 * 12), 0))</f>
        <v/>
      </c>
      <c r="AJ825" s="47" t="str">
        <f>IF($A825="", "", $AI825 * Premissas!$B$12)</f>
        <v/>
      </c>
      <c r="AK825" s="47" t="str">
        <f t="shared" si="13"/>
        <v/>
      </c>
      <c r="AL825" s="47"/>
      <c r="AM825" s="47"/>
    </row>
    <row r="826" ht="15.75" customHeight="1">
      <c r="K826" s="47" t="str">
        <f>IF($A826="", "", IFERROR($E826 * ($I826/$B826) * Premissas!$B$6, 0))</f>
        <v/>
      </c>
      <c r="L826" s="47" t="str">
        <f>IF($A826="", "", IFERROR(($E826 * Premissas!$B$4 * ($I826/$B826) + $E825 * Premissas!$B$5 * ($I825/$B825)) * Premissas!$B$7, 0))</f>
        <v/>
      </c>
      <c r="AI826" s="47" t="str">
        <f>IF($A826="", "", IFERROR(($I826 * Premissas!$B$5) + ($E826 * ($I826/$B826) * Premissas!$B$4 * 12), 0))</f>
        <v/>
      </c>
      <c r="AJ826" s="47" t="str">
        <f>IF($A826="", "", $AI826 * Premissas!$B$12)</f>
        <v/>
      </c>
      <c r="AK826" s="47" t="str">
        <f t="shared" si="13"/>
        <v/>
      </c>
      <c r="AL826" s="47"/>
      <c r="AM826" s="47"/>
    </row>
    <row r="827" ht="15.75" customHeight="1">
      <c r="K827" s="47" t="str">
        <f>IF($A827="", "", IFERROR($E827 * ($I827/$B827) * Premissas!$B$6, 0))</f>
        <v/>
      </c>
      <c r="L827" s="47" t="str">
        <f>IF($A827="", "", IFERROR(($E827 * Premissas!$B$4 * ($I827/$B827) + $E826 * Premissas!$B$5 * ($I826/$B826)) * Premissas!$B$7, 0))</f>
        <v/>
      </c>
      <c r="AI827" s="47" t="str">
        <f>IF($A827="", "", IFERROR(($I827 * Premissas!$B$5) + ($E827 * ($I827/$B827) * Premissas!$B$4 * 12), 0))</f>
        <v/>
      </c>
      <c r="AJ827" s="47" t="str">
        <f>IF($A827="", "", $AI827 * Premissas!$B$12)</f>
        <v/>
      </c>
      <c r="AK827" s="47" t="str">
        <f t="shared" si="13"/>
        <v/>
      </c>
      <c r="AL827" s="47"/>
      <c r="AM827" s="47"/>
    </row>
    <row r="828" ht="15.75" customHeight="1">
      <c r="K828" s="47" t="str">
        <f>IF($A828="", "", IFERROR($E828 * ($I828/$B828) * Premissas!$B$6, 0))</f>
        <v/>
      </c>
      <c r="L828" s="47" t="str">
        <f>IF($A828="", "", IFERROR(($E828 * Premissas!$B$4 * ($I828/$B828) + $E827 * Premissas!$B$5 * ($I827/$B827)) * Premissas!$B$7, 0))</f>
        <v/>
      </c>
      <c r="AI828" s="47" t="str">
        <f>IF($A828="", "", IFERROR(($I828 * Premissas!$B$5) + ($E828 * ($I828/$B828) * Premissas!$B$4 * 12), 0))</f>
        <v/>
      </c>
      <c r="AJ828" s="47" t="str">
        <f>IF($A828="", "", $AI828 * Premissas!$B$12)</f>
        <v/>
      </c>
      <c r="AK828" s="47" t="str">
        <f t="shared" si="13"/>
        <v/>
      </c>
      <c r="AL828" s="47"/>
      <c r="AM828" s="47"/>
    </row>
    <row r="829" ht="15.75" customHeight="1">
      <c r="K829" s="47" t="str">
        <f>IF($A829="", "", IFERROR($E829 * ($I829/$B829) * Premissas!$B$6, 0))</f>
        <v/>
      </c>
      <c r="L829" s="47" t="str">
        <f>IF($A829="", "", IFERROR(($E829 * Premissas!$B$4 * ($I829/$B829) + $E828 * Premissas!$B$5 * ($I828/$B828)) * Premissas!$B$7, 0))</f>
        <v/>
      </c>
      <c r="AI829" s="47" t="str">
        <f>IF($A829="", "", IFERROR(($I829 * Premissas!$B$5) + ($E829 * ($I829/$B829) * Premissas!$B$4 * 12), 0))</f>
        <v/>
      </c>
      <c r="AJ829" s="47" t="str">
        <f>IF($A829="", "", $AI829 * Premissas!$B$12)</f>
        <v/>
      </c>
      <c r="AK829" s="47" t="str">
        <f t="shared" si="13"/>
        <v/>
      </c>
      <c r="AL829" s="47"/>
      <c r="AM829" s="47"/>
    </row>
    <row r="830" ht="15.75" customHeight="1">
      <c r="K830" s="47" t="str">
        <f>IF($A830="", "", IFERROR($E830 * ($I830/$B830) * Premissas!$B$6, 0))</f>
        <v/>
      </c>
      <c r="L830" s="47" t="str">
        <f>IF($A830="", "", IFERROR(($E830 * Premissas!$B$4 * ($I830/$B830) + $E829 * Premissas!$B$5 * ($I829/$B829)) * Premissas!$B$7, 0))</f>
        <v/>
      </c>
      <c r="AI830" s="47" t="str">
        <f>IF($A830="", "", IFERROR(($I830 * Premissas!$B$5) + ($E830 * ($I830/$B830) * Premissas!$B$4 * 12), 0))</f>
        <v/>
      </c>
      <c r="AJ830" s="47" t="str">
        <f>IF($A830="", "", $AI830 * Premissas!$B$12)</f>
        <v/>
      </c>
      <c r="AK830" s="47" t="str">
        <f t="shared" si="13"/>
        <v/>
      </c>
      <c r="AL830" s="47"/>
      <c r="AM830" s="47"/>
    </row>
    <row r="831" ht="15.75" customHeight="1">
      <c r="K831" s="47" t="str">
        <f>IF($A831="", "", IFERROR($E831 * ($I831/$B831) * Premissas!$B$6, 0))</f>
        <v/>
      </c>
      <c r="L831" s="47" t="str">
        <f>IF($A831="", "", IFERROR(($E831 * Premissas!$B$4 * ($I831/$B831) + $E830 * Premissas!$B$5 * ($I830/$B830)) * Premissas!$B$7, 0))</f>
        <v/>
      </c>
      <c r="AI831" s="47" t="str">
        <f>IF($A831="", "", IFERROR(($I831 * Premissas!$B$5) + ($E831 * ($I831/$B831) * Premissas!$B$4 * 12), 0))</f>
        <v/>
      </c>
      <c r="AJ831" s="47" t="str">
        <f>IF($A831="", "", $AI831 * Premissas!$B$12)</f>
        <v/>
      </c>
      <c r="AK831" s="47" t="str">
        <f t="shared" si="13"/>
        <v/>
      </c>
      <c r="AL831" s="47"/>
      <c r="AM831" s="47"/>
    </row>
    <row r="832" ht="15.75" customHeight="1">
      <c r="K832" s="47" t="str">
        <f>IF($A832="", "", IFERROR($E832 * ($I832/$B832) * Premissas!$B$6, 0))</f>
        <v/>
      </c>
      <c r="L832" s="47" t="str">
        <f>IF($A832="", "", IFERROR(($E832 * Premissas!$B$4 * ($I832/$B832) + $E831 * Premissas!$B$5 * ($I831/$B831)) * Premissas!$B$7, 0))</f>
        <v/>
      </c>
      <c r="AI832" s="47" t="str">
        <f>IF($A832="", "", IFERROR(($I832 * Premissas!$B$5) + ($E832 * ($I832/$B832) * Premissas!$B$4 * 12), 0))</f>
        <v/>
      </c>
      <c r="AJ832" s="47" t="str">
        <f>IF($A832="", "", $AI832 * Premissas!$B$12)</f>
        <v/>
      </c>
      <c r="AK832" s="47" t="str">
        <f t="shared" si="13"/>
        <v/>
      </c>
      <c r="AL832" s="47"/>
      <c r="AM832" s="47"/>
    </row>
    <row r="833" ht="15.75" customHeight="1">
      <c r="K833" s="47" t="str">
        <f>IF($A833="", "", IFERROR($E833 * ($I833/$B833) * Premissas!$B$6, 0))</f>
        <v/>
      </c>
      <c r="L833" s="47" t="str">
        <f>IF($A833="", "", IFERROR(($E833 * Premissas!$B$4 * ($I833/$B833) + $E832 * Premissas!$B$5 * ($I832/$B832)) * Premissas!$B$7, 0))</f>
        <v/>
      </c>
      <c r="AI833" s="47" t="str">
        <f>IF($A833="", "", IFERROR(($I833 * Premissas!$B$5) + ($E833 * ($I833/$B833) * Premissas!$B$4 * 12), 0))</f>
        <v/>
      </c>
      <c r="AJ833" s="47" t="str">
        <f>IF($A833="", "", $AI833 * Premissas!$B$12)</f>
        <v/>
      </c>
      <c r="AK833" s="47" t="str">
        <f t="shared" si="13"/>
        <v/>
      </c>
      <c r="AL833" s="47"/>
      <c r="AM833" s="47"/>
    </row>
    <row r="834" ht="15.75" customHeight="1">
      <c r="K834" s="47" t="str">
        <f>IF($A834="", "", IFERROR($E834 * ($I834/$B834) * Premissas!$B$6, 0))</f>
        <v/>
      </c>
      <c r="L834" s="47" t="str">
        <f>IF($A834="", "", IFERROR(($E834 * Premissas!$B$4 * ($I834/$B834) + $E833 * Premissas!$B$5 * ($I833/$B833)) * Premissas!$B$7, 0))</f>
        <v/>
      </c>
      <c r="AI834" s="47" t="str">
        <f>IF($A834="", "", IFERROR(($I834 * Premissas!$B$5) + ($E834 * ($I834/$B834) * Premissas!$B$4 * 12), 0))</f>
        <v/>
      </c>
      <c r="AJ834" s="47" t="str">
        <f>IF($A834="", "", $AI834 * Premissas!$B$12)</f>
        <v/>
      </c>
      <c r="AK834" s="47" t="str">
        <f t="shared" si="13"/>
        <v/>
      </c>
      <c r="AL834" s="47"/>
      <c r="AM834" s="47"/>
    </row>
    <row r="835" ht="15.75" customHeight="1">
      <c r="K835" s="47" t="str">
        <f>IF($A835="", "", IFERROR($E835 * ($I835/$B835) * Premissas!$B$6, 0))</f>
        <v/>
      </c>
      <c r="L835" s="47" t="str">
        <f>IF($A835="", "", IFERROR(($E835 * Premissas!$B$4 * ($I835/$B835) + $E834 * Premissas!$B$5 * ($I834/$B834)) * Premissas!$B$7, 0))</f>
        <v/>
      </c>
      <c r="AI835" s="47" t="str">
        <f>IF($A835="", "", IFERROR(($I835 * Premissas!$B$5) + ($E835 * ($I835/$B835) * Premissas!$B$4 * 12), 0))</f>
        <v/>
      </c>
      <c r="AJ835" s="47" t="str">
        <f>IF($A835="", "", $AI835 * Premissas!$B$12)</f>
        <v/>
      </c>
      <c r="AK835" s="47" t="str">
        <f t="shared" si="13"/>
        <v/>
      </c>
      <c r="AL835" s="47"/>
      <c r="AM835" s="47"/>
    </row>
    <row r="836" ht="15.75" customHeight="1">
      <c r="K836" s="47" t="str">
        <f>IF($A836="", "", IFERROR($E836 * ($I836/$B836) * Premissas!$B$6, 0))</f>
        <v/>
      </c>
      <c r="L836" s="47" t="str">
        <f>IF($A836="", "", IFERROR(($E836 * Premissas!$B$4 * ($I836/$B836) + $E835 * Premissas!$B$5 * ($I835/$B835)) * Premissas!$B$7, 0))</f>
        <v/>
      </c>
      <c r="AI836" s="47" t="str">
        <f>IF($A836="", "", IFERROR(($I836 * Premissas!$B$5) + ($E836 * ($I836/$B836) * Premissas!$B$4 * 12), 0))</f>
        <v/>
      </c>
      <c r="AJ836" s="47" t="str">
        <f>IF($A836="", "", $AI836 * Premissas!$B$12)</f>
        <v/>
      </c>
      <c r="AK836" s="47" t="str">
        <f t="shared" si="13"/>
        <v/>
      </c>
      <c r="AL836" s="47"/>
      <c r="AM836" s="47"/>
    </row>
    <row r="837" ht="15.75" customHeight="1">
      <c r="K837" s="47" t="str">
        <f>IF($A837="", "", IFERROR($E837 * ($I837/$B837) * Premissas!$B$6, 0))</f>
        <v/>
      </c>
      <c r="L837" s="47" t="str">
        <f>IF($A837="", "", IFERROR(($E837 * Premissas!$B$4 * ($I837/$B837) + $E836 * Premissas!$B$5 * ($I836/$B836)) * Premissas!$B$7, 0))</f>
        <v/>
      </c>
      <c r="AI837" s="47" t="str">
        <f>IF($A837="", "", IFERROR(($I837 * Premissas!$B$5) + ($E837 * ($I837/$B837) * Premissas!$B$4 * 12), 0))</f>
        <v/>
      </c>
      <c r="AJ837" s="47" t="str">
        <f>IF($A837="", "", $AI837 * Premissas!$B$12)</f>
        <v/>
      </c>
      <c r="AK837" s="47" t="str">
        <f t="shared" si="13"/>
        <v/>
      </c>
      <c r="AL837" s="47"/>
      <c r="AM837" s="47"/>
    </row>
    <row r="838" ht="15.75" customHeight="1">
      <c r="K838" s="47" t="str">
        <f>IF($A838="", "", IFERROR($E838 * ($I838/$B838) * Premissas!$B$6, 0))</f>
        <v/>
      </c>
      <c r="L838" s="47" t="str">
        <f>IF($A838="", "", IFERROR(($E838 * Premissas!$B$4 * ($I838/$B838) + $E837 * Premissas!$B$5 * ($I837/$B837)) * Premissas!$B$7, 0))</f>
        <v/>
      </c>
      <c r="AI838" s="47" t="str">
        <f>IF($A838="", "", IFERROR(($I838 * Premissas!$B$5) + ($E838 * ($I838/$B838) * Premissas!$B$4 * 12), 0))</f>
        <v/>
      </c>
      <c r="AJ838" s="47" t="str">
        <f>IF($A838="", "", $AI838 * Premissas!$B$12)</f>
        <v/>
      </c>
      <c r="AK838" s="47" t="str">
        <f t="shared" si="13"/>
        <v/>
      </c>
      <c r="AL838" s="47"/>
      <c r="AM838" s="47"/>
    </row>
    <row r="839" ht="15.75" customHeight="1">
      <c r="K839" s="47" t="str">
        <f>IF($A839="", "", IFERROR($E839 * ($I839/$B839) * Premissas!$B$6, 0))</f>
        <v/>
      </c>
      <c r="L839" s="47" t="str">
        <f>IF($A839="", "", IFERROR(($E839 * Premissas!$B$4 * ($I839/$B839) + $E838 * Premissas!$B$5 * ($I838/$B838)) * Premissas!$B$7, 0))</f>
        <v/>
      </c>
      <c r="AI839" s="47" t="str">
        <f>IF($A839="", "", IFERROR(($I839 * Premissas!$B$5) + ($E839 * ($I839/$B839) * Premissas!$B$4 * 12), 0))</f>
        <v/>
      </c>
      <c r="AJ839" s="47" t="str">
        <f>IF($A839="", "", $AI839 * Premissas!$B$12)</f>
        <v/>
      </c>
      <c r="AK839" s="47" t="str">
        <f t="shared" si="13"/>
        <v/>
      </c>
      <c r="AL839" s="47"/>
      <c r="AM839" s="47"/>
    </row>
    <row r="840" ht="15.75" customHeight="1">
      <c r="K840" s="47" t="str">
        <f>IF($A840="", "", IFERROR($E840 * ($I840/$B840) * Premissas!$B$6, 0))</f>
        <v/>
      </c>
      <c r="L840" s="47" t="str">
        <f>IF($A840="", "", IFERROR(($E840 * Premissas!$B$4 * ($I840/$B840) + $E839 * Premissas!$B$5 * ($I839/$B839)) * Premissas!$B$7, 0))</f>
        <v/>
      </c>
      <c r="AI840" s="47" t="str">
        <f>IF($A840="", "", IFERROR(($I840 * Premissas!$B$5) + ($E840 * ($I840/$B840) * Premissas!$B$4 * 12), 0))</f>
        <v/>
      </c>
      <c r="AJ840" s="47" t="str">
        <f>IF($A840="", "", $AI840 * Premissas!$B$12)</f>
        <v/>
      </c>
      <c r="AK840" s="47" t="str">
        <f t="shared" si="13"/>
        <v/>
      </c>
      <c r="AL840" s="47"/>
      <c r="AM840" s="47"/>
    </row>
    <row r="841" ht="15.75" customHeight="1">
      <c r="K841" s="47" t="str">
        <f>IF($A841="", "", IFERROR($E841 * ($I841/$B841) * Premissas!$B$6, 0))</f>
        <v/>
      </c>
      <c r="L841" s="47" t="str">
        <f>IF($A841="", "", IFERROR(($E841 * Premissas!$B$4 * ($I841/$B841) + $E840 * Premissas!$B$5 * ($I840/$B840)) * Premissas!$B$7, 0))</f>
        <v/>
      </c>
      <c r="AI841" s="47" t="str">
        <f>IF($A841="", "", IFERROR(($I841 * Premissas!$B$5) + ($E841 * ($I841/$B841) * Premissas!$B$4 * 12), 0))</f>
        <v/>
      </c>
      <c r="AJ841" s="47" t="str">
        <f>IF($A841="", "", $AI841 * Premissas!$B$12)</f>
        <v/>
      </c>
      <c r="AK841" s="47" t="str">
        <f t="shared" si="13"/>
        <v/>
      </c>
      <c r="AL841" s="47"/>
      <c r="AM841" s="47"/>
    </row>
    <row r="842" ht="15.75" customHeight="1">
      <c r="K842" s="47" t="str">
        <f>IF($A842="", "", IFERROR($E842 * ($I842/$B842) * Premissas!$B$6, 0))</f>
        <v/>
      </c>
      <c r="L842" s="47" t="str">
        <f>IF($A842="", "", IFERROR(($E842 * Premissas!$B$4 * ($I842/$B842) + $E841 * Premissas!$B$5 * ($I841/$B841)) * Premissas!$B$7, 0))</f>
        <v/>
      </c>
      <c r="AI842" s="47" t="str">
        <f>IF($A842="", "", IFERROR(($I842 * Premissas!$B$5) + ($E842 * ($I842/$B842) * Premissas!$B$4 * 12), 0))</f>
        <v/>
      </c>
      <c r="AJ842" s="47" t="str">
        <f>IF($A842="", "", $AI842 * Premissas!$B$12)</f>
        <v/>
      </c>
      <c r="AK842" s="47" t="str">
        <f t="shared" si="13"/>
        <v/>
      </c>
      <c r="AL842" s="47"/>
      <c r="AM842" s="47"/>
    </row>
    <row r="843" ht="15.75" customHeight="1">
      <c r="K843" s="47" t="str">
        <f>IF($A843="", "", IFERROR($E843 * ($I843/$B843) * Premissas!$B$6, 0))</f>
        <v/>
      </c>
      <c r="L843" s="47" t="str">
        <f>IF($A843="", "", IFERROR(($E843 * Premissas!$B$4 * ($I843/$B843) + $E842 * Premissas!$B$5 * ($I842/$B842)) * Premissas!$B$7, 0))</f>
        <v/>
      </c>
      <c r="AI843" s="47" t="str">
        <f>IF($A843="", "", IFERROR(($I843 * Premissas!$B$5) + ($E843 * ($I843/$B843) * Premissas!$B$4 * 12), 0))</f>
        <v/>
      </c>
      <c r="AJ843" s="47" t="str">
        <f>IF($A843="", "", $AI843 * Premissas!$B$12)</f>
        <v/>
      </c>
      <c r="AK843" s="47" t="str">
        <f t="shared" si="13"/>
        <v/>
      </c>
      <c r="AL843" s="47"/>
      <c r="AM843" s="47"/>
    </row>
    <row r="844" ht="15.75" customHeight="1">
      <c r="K844" s="47" t="str">
        <f>IF($A844="", "", IFERROR($E844 * ($I844/$B844) * Premissas!$B$6, 0))</f>
        <v/>
      </c>
      <c r="L844" s="47" t="str">
        <f>IF($A844="", "", IFERROR(($E844 * Premissas!$B$4 * ($I844/$B844) + $E843 * Premissas!$B$5 * ($I843/$B843)) * Premissas!$B$7, 0))</f>
        <v/>
      </c>
      <c r="AI844" s="47" t="str">
        <f>IF($A844="", "", IFERROR(($I844 * Premissas!$B$5) + ($E844 * ($I844/$B844) * Premissas!$B$4 * 12), 0))</f>
        <v/>
      </c>
      <c r="AJ844" s="47" t="str">
        <f>IF($A844="", "", $AI844 * Premissas!$B$12)</f>
        <v/>
      </c>
      <c r="AK844" s="47" t="str">
        <f t="shared" si="13"/>
        <v/>
      </c>
      <c r="AL844" s="47"/>
      <c r="AM844" s="47"/>
    </row>
    <row r="845" ht="15.75" customHeight="1">
      <c r="K845" s="47" t="str">
        <f>IF($A845="", "", IFERROR($E845 * ($I845/$B845) * Premissas!$B$6, 0))</f>
        <v/>
      </c>
      <c r="L845" s="47" t="str">
        <f>IF($A845="", "", IFERROR(($E845 * Premissas!$B$4 * ($I845/$B845) + $E844 * Premissas!$B$5 * ($I844/$B844)) * Premissas!$B$7, 0))</f>
        <v/>
      </c>
      <c r="AI845" s="47" t="str">
        <f>IF($A845="", "", IFERROR(($I845 * Premissas!$B$5) + ($E845 * ($I845/$B845) * Premissas!$B$4 * 12), 0))</f>
        <v/>
      </c>
      <c r="AJ845" s="47" t="str">
        <f>IF($A845="", "", $AI845 * Premissas!$B$12)</f>
        <v/>
      </c>
      <c r="AK845" s="47" t="str">
        <f t="shared" si="13"/>
        <v/>
      </c>
      <c r="AL845" s="47"/>
      <c r="AM845" s="47"/>
    </row>
    <row r="846" ht="15.75" customHeight="1">
      <c r="K846" s="47" t="str">
        <f>IF($A846="", "", IFERROR($E846 * ($I846/$B846) * Premissas!$B$6, 0))</f>
        <v/>
      </c>
      <c r="L846" s="47" t="str">
        <f>IF($A846="", "", IFERROR(($E846 * Premissas!$B$4 * ($I846/$B846) + $E845 * Premissas!$B$5 * ($I845/$B845)) * Premissas!$B$7, 0))</f>
        <v/>
      </c>
      <c r="AI846" s="47" t="str">
        <f>IF($A846="", "", IFERROR(($I846 * Premissas!$B$5) + ($E846 * ($I846/$B846) * Premissas!$B$4 * 12), 0))</f>
        <v/>
      </c>
      <c r="AJ846" s="47" t="str">
        <f>IF($A846="", "", $AI846 * Premissas!$B$12)</f>
        <v/>
      </c>
      <c r="AK846" s="47" t="str">
        <f t="shared" si="13"/>
        <v/>
      </c>
      <c r="AL846" s="47"/>
      <c r="AM846" s="47"/>
    </row>
    <row r="847" ht="15.75" customHeight="1">
      <c r="K847" s="47" t="str">
        <f>IF($A847="", "", IFERROR($E847 * ($I847/$B847) * Premissas!$B$6, 0))</f>
        <v/>
      </c>
      <c r="L847" s="47" t="str">
        <f>IF($A847="", "", IFERROR(($E847 * Premissas!$B$4 * ($I847/$B847) + $E846 * Premissas!$B$5 * ($I846/$B846)) * Premissas!$B$7, 0))</f>
        <v/>
      </c>
      <c r="AI847" s="47" t="str">
        <f>IF($A847="", "", IFERROR(($I847 * Premissas!$B$5) + ($E847 * ($I847/$B847) * Premissas!$B$4 * 12), 0))</f>
        <v/>
      </c>
      <c r="AJ847" s="47" t="str">
        <f>IF($A847="", "", $AI847 * Premissas!$B$12)</f>
        <v/>
      </c>
      <c r="AK847" s="47" t="str">
        <f t="shared" si="13"/>
        <v/>
      </c>
      <c r="AL847" s="47"/>
      <c r="AM847" s="47"/>
    </row>
    <row r="848" ht="15.75" customHeight="1">
      <c r="K848" s="47" t="str">
        <f>IF($A848="", "", IFERROR($E848 * ($I848/$B848) * Premissas!$B$6, 0))</f>
        <v/>
      </c>
      <c r="L848" s="47" t="str">
        <f>IF($A848="", "", IFERROR(($E848 * Premissas!$B$4 * ($I848/$B848) + $E847 * Premissas!$B$5 * ($I847/$B847)) * Premissas!$B$7, 0))</f>
        <v/>
      </c>
      <c r="AI848" s="47" t="str">
        <f>IF($A848="", "", IFERROR(($I848 * Premissas!$B$5) + ($E848 * ($I848/$B848) * Premissas!$B$4 * 12), 0))</f>
        <v/>
      </c>
      <c r="AJ848" s="47" t="str">
        <f>IF($A848="", "", $AI848 * Premissas!$B$12)</f>
        <v/>
      </c>
      <c r="AK848" s="47" t="str">
        <f t="shared" si="13"/>
        <v/>
      </c>
      <c r="AL848" s="47"/>
      <c r="AM848" s="47"/>
    </row>
    <row r="849" ht="15.75" customHeight="1">
      <c r="K849" s="47" t="str">
        <f>IF($A849="", "", IFERROR($E849 * ($I849/$B849) * Premissas!$B$6, 0))</f>
        <v/>
      </c>
      <c r="L849" s="47" t="str">
        <f>IF($A849="", "", IFERROR(($E849 * Premissas!$B$4 * ($I849/$B849) + $E848 * Premissas!$B$5 * ($I848/$B848)) * Premissas!$B$7, 0))</f>
        <v/>
      </c>
      <c r="AI849" s="47" t="str">
        <f>IF($A849="", "", IFERROR(($I849 * Premissas!$B$5) + ($E849 * ($I849/$B849) * Premissas!$B$4 * 12), 0))</f>
        <v/>
      </c>
      <c r="AJ849" s="47" t="str">
        <f>IF($A849="", "", $AI849 * Premissas!$B$12)</f>
        <v/>
      </c>
      <c r="AK849" s="47" t="str">
        <f t="shared" si="13"/>
        <v/>
      </c>
      <c r="AL849" s="47"/>
      <c r="AM849" s="47"/>
    </row>
    <row r="850" ht="15.75" customHeight="1">
      <c r="K850" s="47" t="str">
        <f>IF($A850="", "", IFERROR($E850 * ($I850/$B850) * Premissas!$B$6, 0))</f>
        <v/>
      </c>
      <c r="L850" s="47" t="str">
        <f>IF($A850="", "", IFERROR(($E850 * Premissas!$B$4 * ($I850/$B850) + $E849 * Premissas!$B$5 * ($I849/$B849)) * Premissas!$B$7, 0))</f>
        <v/>
      </c>
      <c r="AI850" s="47" t="str">
        <f>IF($A850="", "", IFERROR(($I850 * Premissas!$B$5) + ($E850 * ($I850/$B850) * Premissas!$B$4 * 12), 0))</f>
        <v/>
      </c>
      <c r="AJ850" s="47" t="str">
        <f>IF($A850="", "", $AI850 * Premissas!$B$12)</f>
        <v/>
      </c>
      <c r="AK850" s="47" t="str">
        <f t="shared" si="13"/>
        <v/>
      </c>
      <c r="AL850" s="47"/>
      <c r="AM850" s="47"/>
    </row>
    <row r="851" ht="15.75" customHeight="1">
      <c r="K851" s="47" t="str">
        <f>IF($A851="", "", IFERROR($E851 * ($I851/$B851) * Premissas!$B$6, 0))</f>
        <v/>
      </c>
      <c r="L851" s="47" t="str">
        <f>IF($A851="", "", IFERROR(($E851 * Premissas!$B$4 * ($I851/$B851) + $E850 * Premissas!$B$5 * ($I850/$B850)) * Premissas!$B$7, 0))</f>
        <v/>
      </c>
      <c r="AI851" s="47" t="str">
        <f>IF($A851="", "", IFERROR(($I851 * Premissas!$B$5) + ($E851 * ($I851/$B851) * Premissas!$B$4 * 12), 0))</f>
        <v/>
      </c>
      <c r="AJ851" s="47" t="str">
        <f>IF($A851="", "", $AI851 * Premissas!$B$12)</f>
        <v/>
      </c>
      <c r="AK851" s="47" t="str">
        <f t="shared" si="13"/>
        <v/>
      </c>
      <c r="AL851" s="47"/>
      <c r="AM851" s="47"/>
    </row>
    <row r="852" ht="15.75" customHeight="1">
      <c r="K852" s="47" t="str">
        <f>IF($A852="", "", IFERROR($E852 * ($I852/$B852) * Premissas!$B$6, 0))</f>
        <v/>
      </c>
      <c r="L852" s="47" t="str">
        <f>IF($A852="", "", IFERROR(($E852 * Premissas!$B$4 * ($I852/$B852) + $E851 * Premissas!$B$5 * ($I851/$B851)) * Premissas!$B$7, 0))</f>
        <v/>
      </c>
      <c r="AI852" s="47" t="str">
        <f>IF($A852="", "", IFERROR(($I852 * Premissas!$B$5) + ($E852 * ($I852/$B852) * Premissas!$B$4 * 12), 0))</f>
        <v/>
      </c>
      <c r="AJ852" s="47" t="str">
        <f>IF($A852="", "", $AI852 * Premissas!$B$12)</f>
        <v/>
      </c>
      <c r="AK852" s="47" t="str">
        <f t="shared" si="13"/>
        <v/>
      </c>
      <c r="AL852" s="47"/>
      <c r="AM852" s="47"/>
    </row>
    <row r="853" ht="15.75" customHeight="1">
      <c r="K853" s="47" t="str">
        <f>IF($A853="", "", IFERROR($E853 * ($I853/$B853) * Premissas!$B$6, 0))</f>
        <v/>
      </c>
      <c r="L853" s="47" t="str">
        <f>IF($A853="", "", IFERROR(($E853 * Premissas!$B$4 * ($I853/$B853) + $E852 * Premissas!$B$5 * ($I852/$B852)) * Premissas!$B$7, 0))</f>
        <v/>
      </c>
      <c r="AI853" s="47" t="str">
        <f>IF($A853="", "", IFERROR(($I853 * Premissas!$B$5) + ($E853 * ($I853/$B853) * Premissas!$B$4 * 12), 0))</f>
        <v/>
      </c>
      <c r="AJ853" s="47" t="str">
        <f>IF($A853="", "", $AI853 * Premissas!$B$12)</f>
        <v/>
      </c>
      <c r="AK853" s="47" t="str">
        <f t="shared" si="13"/>
        <v/>
      </c>
      <c r="AL853" s="47"/>
      <c r="AM853" s="47"/>
    </row>
    <row r="854" ht="15.75" customHeight="1">
      <c r="K854" s="47" t="str">
        <f>IF($A854="", "", IFERROR($E854 * ($I854/$B854) * Premissas!$B$6, 0))</f>
        <v/>
      </c>
      <c r="L854" s="47" t="str">
        <f>IF($A854="", "", IFERROR(($E854 * Premissas!$B$4 * ($I854/$B854) + $E853 * Premissas!$B$5 * ($I853/$B853)) * Premissas!$B$7, 0))</f>
        <v/>
      </c>
      <c r="AI854" s="47" t="str">
        <f>IF($A854="", "", IFERROR(($I854 * Premissas!$B$5) + ($E854 * ($I854/$B854) * Premissas!$B$4 * 12), 0))</f>
        <v/>
      </c>
      <c r="AJ854" s="47" t="str">
        <f>IF($A854="", "", $AI854 * Premissas!$B$12)</f>
        <v/>
      </c>
      <c r="AK854" s="47" t="str">
        <f t="shared" si="13"/>
        <v/>
      </c>
      <c r="AL854" s="47"/>
      <c r="AM854" s="47"/>
    </row>
    <row r="855" ht="15.75" customHeight="1">
      <c r="K855" s="47" t="str">
        <f>IF($A855="", "", IFERROR($E855 * ($I855/$B855) * Premissas!$B$6, 0))</f>
        <v/>
      </c>
      <c r="L855" s="47" t="str">
        <f>IF($A855="", "", IFERROR(($E855 * Premissas!$B$4 * ($I855/$B855) + $E854 * Premissas!$B$5 * ($I854/$B854)) * Premissas!$B$7, 0))</f>
        <v/>
      </c>
      <c r="AI855" s="47" t="str">
        <f>IF($A855="", "", IFERROR(($I855 * Premissas!$B$5) + ($E855 * ($I855/$B855) * Premissas!$B$4 * 12), 0))</f>
        <v/>
      </c>
      <c r="AJ855" s="47" t="str">
        <f>IF($A855="", "", $AI855 * Premissas!$B$12)</f>
        <v/>
      </c>
      <c r="AK855" s="47" t="str">
        <f t="shared" si="13"/>
        <v/>
      </c>
      <c r="AL855" s="47"/>
      <c r="AM855" s="47"/>
    </row>
    <row r="856" ht="15.75" customHeight="1">
      <c r="K856" s="47" t="str">
        <f>IF($A856="", "", IFERROR($E856 * ($I856/$B856) * Premissas!$B$6, 0))</f>
        <v/>
      </c>
      <c r="L856" s="47" t="str">
        <f>IF($A856="", "", IFERROR(($E856 * Premissas!$B$4 * ($I856/$B856) + $E855 * Premissas!$B$5 * ($I855/$B855)) * Premissas!$B$7, 0))</f>
        <v/>
      </c>
      <c r="AI856" s="47" t="str">
        <f>IF($A856="", "", IFERROR(($I856 * Premissas!$B$5) + ($E856 * ($I856/$B856) * Premissas!$B$4 * 12), 0))</f>
        <v/>
      </c>
      <c r="AJ856" s="47" t="str">
        <f>IF($A856="", "", $AI856 * Premissas!$B$12)</f>
        <v/>
      </c>
      <c r="AK856" s="47" t="str">
        <f t="shared" si="13"/>
        <v/>
      </c>
      <c r="AL856" s="47"/>
      <c r="AM856" s="47"/>
    </row>
    <row r="857" ht="15.75" customHeight="1">
      <c r="K857" s="47" t="str">
        <f>IF($A857="", "", IFERROR($E857 * ($I857/$B857) * Premissas!$B$6, 0))</f>
        <v/>
      </c>
      <c r="L857" s="47" t="str">
        <f>IF($A857="", "", IFERROR(($E857 * Premissas!$B$4 * ($I857/$B857) + $E856 * Premissas!$B$5 * ($I856/$B856)) * Premissas!$B$7, 0))</f>
        <v/>
      </c>
      <c r="AI857" s="47" t="str">
        <f>IF($A857="", "", IFERROR(($I857 * Premissas!$B$5) + ($E857 * ($I857/$B857) * Premissas!$B$4 * 12), 0))</f>
        <v/>
      </c>
      <c r="AJ857" s="47" t="str">
        <f>IF($A857="", "", $AI857 * Premissas!$B$12)</f>
        <v/>
      </c>
      <c r="AK857" s="47" t="str">
        <f t="shared" si="13"/>
        <v/>
      </c>
      <c r="AL857" s="47"/>
      <c r="AM857" s="47"/>
    </row>
    <row r="858" ht="15.75" customHeight="1">
      <c r="K858" s="47" t="str">
        <f>IF($A858="", "", IFERROR($E858 * ($I858/$B858) * Premissas!$B$6, 0))</f>
        <v/>
      </c>
      <c r="L858" s="47" t="str">
        <f>IF($A858="", "", IFERROR(($E858 * Premissas!$B$4 * ($I858/$B858) + $E857 * Premissas!$B$5 * ($I857/$B857)) * Premissas!$B$7, 0))</f>
        <v/>
      </c>
      <c r="AI858" s="47" t="str">
        <f>IF($A858="", "", IFERROR(($I858 * Premissas!$B$5) + ($E858 * ($I858/$B858) * Premissas!$B$4 * 12), 0))</f>
        <v/>
      </c>
      <c r="AJ858" s="47" t="str">
        <f>IF($A858="", "", $AI858 * Premissas!$B$12)</f>
        <v/>
      </c>
      <c r="AK858" s="47" t="str">
        <f t="shared" si="13"/>
        <v/>
      </c>
      <c r="AL858" s="47"/>
      <c r="AM858" s="47"/>
    </row>
    <row r="859" ht="15.75" customHeight="1">
      <c r="K859" s="47" t="str">
        <f>IF($A859="", "", IFERROR($E859 * ($I859/$B859) * Premissas!$B$6, 0))</f>
        <v/>
      </c>
      <c r="L859" s="47" t="str">
        <f>IF($A859="", "", IFERROR(($E859 * Premissas!$B$4 * ($I859/$B859) + $E858 * Premissas!$B$5 * ($I858/$B858)) * Premissas!$B$7, 0))</f>
        <v/>
      </c>
      <c r="AI859" s="47" t="str">
        <f>IF($A859="", "", IFERROR(($I859 * Premissas!$B$5) + ($E859 * ($I859/$B859) * Premissas!$B$4 * 12), 0))</f>
        <v/>
      </c>
      <c r="AJ859" s="47" t="str">
        <f>IF($A859="", "", $AI859 * Premissas!$B$12)</f>
        <v/>
      </c>
      <c r="AK859" s="47" t="str">
        <f t="shared" si="13"/>
        <v/>
      </c>
      <c r="AL859" s="47"/>
      <c r="AM859" s="47"/>
    </row>
    <row r="860" ht="15.75" customHeight="1">
      <c r="K860" s="47" t="str">
        <f>IF($A860="", "", IFERROR($E860 * ($I860/$B860) * Premissas!$B$6, 0))</f>
        <v/>
      </c>
      <c r="L860" s="47" t="str">
        <f>IF($A860="", "", IFERROR(($E860 * Premissas!$B$4 * ($I860/$B860) + $E859 * Premissas!$B$5 * ($I859/$B859)) * Premissas!$B$7, 0))</f>
        <v/>
      </c>
      <c r="AI860" s="47" t="str">
        <f>IF($A860="", "", IFERROR(($I860 * Premissas!$B$5) + ($E860 * ($I860/$B860) * Premissas!$B$4 * 12), 0))</f>
        <v/>
      </c>
      <c r="AJ860" s="47" t="str">
        <f>IF($A860="", "", $AI860 * Premissas!$B$12)</f>
        <v/>
      </c>
      <c r="AK860" s="47" t="str">
        <f t="shared" si="13"/>
        <v/>
      </c>
      <c r="AL860" s="47"/>
      <c r="AM860" s="47"/>
    </row>
    <row r="861" ht="15.75" customHeight="1">
      <c r="K861" s="47" t="str">
        <f>IF($A861="", "", IFERROR($E861 * ($I861/$B861) * Premissas!$B$6, 0))</f>
        <v/>
      </c>
      <c r="L861" s="47" t="str">
        <f>IF($A861="", "", IFERROR(($E861 * Premissas!$B$4 * ($I861/$B861) + $E860 * Premissas!$B$5 * ($I860/$B860)) * Premissas!$B$7, 0))</f>
        <v/>
      </c>
      <c r="AI861" s="47" t="str">
        <f>IF($A861="", "", IFERROR(($I861 * Premissas!$B$5) + ($E861 * ($I861/$B861) * Premissas!$B$4 * 12), 0))</f>
        <v/>
      </c>
      <c r="AJ861" s="47" t="str">
        <f>IF($A861="", "", $AI861 * Premissas!$B$12)</f>
        <v/>
      </c>
      <c r="AK861" s="47" t="str">
        <f t="shared" si="13"/>
        <v/>
      </c>
      <c r="AL861" s="47"/>
      <c r="AM861" s="47"/>
    </row>
    <row r="862" ht="15.75" customHeight="1">
      <c r="K862" s="47" t="str">
        <f>IF($A862="", "", IFERROR($E862 * ($I862/$B862) * Premissas!$B$6, 0))</f>
        <v/>
      </c>
      <c r="L862" s="47" t="str">
        <f>IF($A862="", "", IFERROR(($E862 * Premissas!$B$4 * ($I862/$B862) + $E861 * Premissas!$B$5 * ($I861/$B861)) * Premissas!$B$7, 0))</f>
        <v/>
      </c>
      <c r="AI862" s="47" t="str">
        <f>IF($A862="", "", IFERROR(($I862 * Premissas!$B$5) + ($E862 * ($I862/$B862) * Premissas!$B$4 * 12), 0))</f>
        <v/>
      </c>
      <c r="AJ862" s="47" t="str">
        <f>IF($A862="", "", $AI862 * Premissas!$B$12)</f>
        <v/>
      </c>
      <c r="AK862" s="47" t="str">
        <f t="shared" si="13"/>
        <v/>
      </c>
      <c r="AL862" s="47"/>
      <c r="AM862" s="47"/>
    </row>
    <row r="863" ht="15.75" customHeight="1">
      <c r="K863" s="47" t="str">
        <f>IF($A863="", "", IFERROR($E863 * ($I863/$B863) * Premissas!$B$6, 0))</f>
        <v/>
      </c>
      <c r="L863" s="47" t="str">
        <f>IF($A863="", "", IFERROR(($E863 * Premissas!$B$4 * ($I863/$B863) + $E862 * Premissas!$B$5 * ($I862/$B862)) * Premissas!$B$7, 0))</f>
        <v/>
      </c>
      <c r="AI863" s="47" t="str">
        <f>IF($A863="", "", IFERROR(($I863 * Premissas!$B$5) + ($E863 * ($I863/$B863) * Premissas!$B$4 * 12), 0))</f>
        <v/>
      </c>
      <c r="AJ863" s="47" t="str">
        <f>IF($A863="", "", $AI863 * Premissas!$B$12)</f>
        <v/>
      </c>
      <c r="AK863" s="47" t="str">
        <f t="shared" si="13"/>
        <v/>
      </c>
      <c r="AL863" s="47"/>
      <c r="AM863" s="47"/>
    </row>
    <row r="864" ht="15.75" customHeight="1">
      <c r="K864" s="47" t="str">
        <f>IF($A864="", "", IFERROR($E864 * ($I864/$B864) * Premissas!$B$6, 0))</f>
        <v/>
      </c>
      <c r="L864" s="47" t="str">
        <f>IF($A864="", "", IFERROR(($E864 * Premissas!$B$4 * ($I864/$B864) + $E863 * Premissas!$B$5 * ($I863/$B863)) * Premissas!$B$7, 0))</f>
        <v/>
      </c>
      <c r="AI864" s="47" t="str">
        <f>IF($A864="", "", IFERROR(($I864 * Premissas!$B$5) + ($E864 * ($I864/$B864) * Premissas!$B$4 * 12), 0))</f>
        <v/>
      </c>
      <c r="AJ864" s="47" t="str">
        <f>IF($A864="", "", $AI864 * Premissas!$B$12)</f>
        <v/>
      </c>
      <c r="AK864" s="47" t="str">
        <f t="shared" si="13"/>
        <v/>
      </c>
      <c r="AL864" s="47"/>
      <c r="AM864" s="47"/>
    </row>
    <row r="865" ht="15.75" customHeight="1">
      <c r="K865" s="47" t="str">
        <f>IF($A865="", "", IFERROR($E865 * ($I865/$B865) * Premissas!$B$6, 0))</f>
        <v/>
      </c>
      <c r="L865" s="47" t="str">
        <f>IF($A865="", "", IFERROR(($E865 * Premissas!$B$4 * ($I865/$B865) + $E864 * Premissas!$B$5 * ($I864/$B864)) * Premissas!$B$7, 0))</f>
        <v/>
      </c>
      <c r="AI865" s="47" t="str">
        <f>IF($A865="", "", IFERROR(($I865 * Premissas!$B$5) + ($E865 * ($I865/$B865) * Premissas!$B$4 * 12), 0))</f>
        <v/>
      </c>
      <c r="AJ865" s="47" t="str">
        <f>IF($A865="", "", $AI865 * Premissas!$B$12)</f>
        <v/>
      </c>
      <c r="AK865" s="47" t="str">
        <f t="shared" si="13"/>
        <v/>
      </c>
      <c r="AL865" s="47"/>
      <c r="AM865" s="47"/>
    </row>
    <row r="866" ht="15.75" customHeight="1">
      <c r="K866" s="47" t="str">
        <f>IF($A866="", "", IFERROR($E866 * ($I866/$B866) * Premissas!$B$6, 0))</f>
        <v/>
      </c>
      <c r="L866" s="47" t="str">
        <f>IF($A866="", "", IFERROR(($E866 * Premissas!$B$4 * ($I866/$B866) + $E865 * Premissas!$B$5 * ($I865/$B865)) * Premissas!$B$7, 0))</f>
        <v/>
      </c>
      <c r="AI866" s="47" t="str">
        <f>IF($A866="", "", IFERROR(($I866 * Premissas!$B$5) + ($E866 * ($I866/$B866) * Premissas!$B$4 * 12), 0))</f>
        <v/>
      </c>
      <c r="AJ866" s="47" t="str">
        <f>IF($A866="", "", $AI866 * Premissas!$B$12)</f>
        <v/>
      </c>
      <c r="AK866" s="47" t="str">
        <f t="shared" si="13"/>
        <v/>
      </c>
      <c r="AL866" s="47"/>
      <c r="AM866" s="47"/>
    </row>
    <row r="867" ht="15.75" customHeight="1">
      <c r="K867" s="47" t="str">
        <f>IF($A867="", "", IFERROR($E867 * ($I867/$B867) * Premissas!$B$6, 0))</f>
        <v/>
      </c>
      <c r="L867" s="47" t="str">
        <f>IF($A867="", "", IFERROR(($E867 * Premissas!$B$4 * ($I867/$B867) + $E866 * Premissas!$B$5 * ($I866/$B866)) * Premissas!$B$7, 0))</f>
        <v/>
      </c>
      <c r="AI867" s="47" t="str">
        <f>IF($A867="", "", IFERROR(($I867 * Premissas!$B$5) + ($E867 * ($I867/$B867) * Premissas!$B$4 * 12), 0))</f>
        <v/>
      </c>
      <c r="AJ867" s="47" t="str">
        <f>IF($A867="", "", $AI867 * Premissas!$B$12)</f>
        <v/>
      </c>
      <c r="AK867" s="47" t="str">
        <f t="shared" si="13"/>
        <v/>
      </c>
      <c r="AL867" s="47"/>
      <c r="AM867" s="47"/>
    </row>
    <row r="868" ht="15.75" customHeight="1">
      <c r="K868" s="47" t="str">
        <f>IF($A868="", "", IFERROR($E868 * ($I868/$B868) * Premissas!$B$6, 0))</f>
        <v/>
      </c>
      <c r="L868" s="47" t="str">
        <f>IF($A868="", "", IFERROR(($E868 * Premissas!$B$4 * ($I868/$B868) + $E867 * Premissas!$B$5 * ($I867/$B867)) * Premissas!$B$7, 0))</f>
        <v/>
      </c>
      <c r="AI868" s="47" t="str">
        <f>IF($A868="", "", IFERROR(($I868 * Premissas!$B$5) + ($E868 * ($I868/$B868) * Premissas!$B$4 * 12), 0))</f>
        <v/>
      </c>
      <c r="AJ868" s="47" t="str">
        <f>IF($A868="", "", $AI868 * Premissas!$B$12)</f>
        <v/>
      </c>
      <c r="AK868" s="47" t="str">
        <f t="shared" si="13"/>
        <v/>
      </c>
      <c r="AL868" s="47"/>
      <c r="AM868" s="47"/>
    </row>
    <row r="869" ht="15.75" customHeight="1">
      <c r="K869" s="47" t="str">
        <f>IF($A869="", "", IFERROR($E869 * ($I869/$B869) * Premissas!$B$6, 0))</f>
        <v/>
      </c>
      <c r="L869" s="47" t="str">
        <f>IF($A869="", "", IFERROR(($E869 * Premissas!$B$4 * ($I869/$B869) + $E868 * Premissas!$B$5 * ($I868/$B868)) * Premissas!$B$7, 0))</f>
        <v/>
      </c>
      <c r="AI869" s="47" t="str">
        <f>IF($A869="", "", IFERROR(($I869 * Premissas!$B$5) + ($E869 * ($I869/$B869) * Premissas!$B$4 * 12), 0))</f>
        <v/>
      </c>
      <c r="AJ869" s="47" t="str">
        <f>IF($A869="", "", $AI869 * Premissas!$B$12)</f>
        <v/>
      </c>
      <c r="AK869" s="47" t="str">
        <f t="shared" si="13"/>
        <v/>
      </c>
      <c r="AL869" s="47"/>
      <c r="AM869" s="47"/>
    </row>
    <row r="870" ht="15.75" customHeight="1">
      <c r="K870" s="47" t="str">
        <f>IF($A870="", "", IFERROR($E870 * ($I870/$B870) * Premissas!$B$6, 0))</f>
        <v/>
      </c>
      <c r="L870" s="47" t="str">
        <f>IF($A870="", "", IFERROR(($E870 * Premissas!$B$4 * ($I870/$B870) + $E869 * Premissas!$B$5 * ($I869/$B869)) * Premissas!$B$7, 0))</f>
        <v/>
      </c>
      <c r="AI870" s="47" t="str">
        <f>IF($A870="", "", IFERROR(($I870 * Premissas!$B$5) + ($E870 * ($I870/$B870) * Premissas!$B$4 * 12), 0))</f>
        <v/>
      </c>
      <c r="AJ870" s="47" t="str">
        <f>IF($A870="", "", $AI870 * Premissas!$B$12)</f>
        <v/>
      </c>
      <c r="AK870" s="47" t="str">
        <f t="shared" si="13"/>
        <v/>
      </c>
      <c r="AL870" s="47"/>
      <c r="AM870" s="47"/>
    </row>
    <row r="871" ht="15.75" customHeight="1">
      <c r="K871" s="47" t="str">
        <f>IF($A871="", "", IFERROR($E871 * ($I871/$B871) * Premissas!$B$6, 0))</f>
        <v/>
      </c>
      <c r="L871" s="47" t="str">
        <f>IF($A871="", "", IFERROR(($E871 * Premissas!$B$4 * ($I871/$B871) + $E870 * Premissas!$B$5 * ($I870/$B870)) * Premissas!$B$7, 0))</f>
        <v/>
      </c>
      <c r="AI871" s="47" t="str">
        <f>IF($A871="", "", IFERROR(($I871 * Premissas!$B$5) + ($E871 * ($I871/$B871) * Premissas!$B$4 * 12), 0))</f>
        <v/>
      </c>
      <c r="AJ871" s="47" t="str">
        <f>IF($A871="", "", $AI871 * Premissas!$B$12)</f>
        <v/>
      </c>
      <c r="AK871" s="47" t="str">
        <f t="shared" si="13"/>
        <v/>
      </c>
      <c r="AL871" s="47"/>
      <c r="AM871" s="47"/>
    </row>
    <row r="872" ht="15.75" customHeight="1">
      <c r="K872" s="47" t="str">
        <f>IF($A872="", "", IFERROR($E872 * ($I872/$B872) * Premissas!$B$6, 0))</f>
        <v/>
      </c>
      <c r="L872" s="47" t="str">
        <f>IF($A872="", "", IFERROR(($E872 * Premissas!$B$4 * ($I872/$B872) + $E871 * Premissas!$B$5 * ($I871/$B871)) * Premissas!$B$7, 0))</f>
        <v/>
      </c>
      <c r="AI872" s="47" t="str">
        <f>IF($A872="", "", IFERROR(($I872 * Premissas!$B$5) + ($E872 * ($I872/$B872) * Premissas!$B$4 * 12), 0))</f>
        <v/>
      </c>
      <c r="AJ872" s="47" t="str">
        <f>IF($A872="", "", $AI872 * Premissas!$B$12)</f>
        <v/>
      </c>
      <c r="AK872" s="47" t="str">
        <f t="shared" si="13"/>
        <v/>
      </c>
      <c r="AL872" s="47"/>
      <c r="AM872" s="47"/>
    </row>
    <row r="873" ht="15.75" customHeight="1">
      <c r="K873" s="47" t="str">
        <f>IF($A873="", "", IFERROR($E873 * ($I873/$B873) * Premissas!$B$6, 0))</f>
        <v/>
      </c>
      <c r="L873" s="47" t="str">
        <f>IF($A873="", "", IFERROR(($E873 * Premissas!$B$4 * ($I873/$B873) + $E872 * Premissas!$B$5 * ($I872/$B872)) * Premissas!$B$7, 0))</f>
        <v/>
      </c>
      <c r="AI873" s="47" t="str">
        <f>IF($A873="", "", IFERROR(($I873 * Premissas!$B$5) + ($E873 * ($I873/$B873) * Premissas!$B$4 * 12), 0))</f>
        <v/>
      </c>
      <c r="AJ873" s="47" t="str">
        <f>IF($A873="", "", $AI873 * Premissas!$B$12)</f>
        <v/>
      </c>
      <c r="AK873" s="47" t="str">
        <f t="shared" si="13"/>
        <v/>
      </c>
      <c r="AL873" s="47"/>
      <c r="AM873" s="47"/>
    </row>
    <row r="874" ht="15.75" customHeight="1">
      <c r="K874" s="47" t="str">
        <f>IF($A874="", "", IFERROR($E874 * ($I874/$B874) * Premissas!$B$6, 0))</f>
        <v/>
      </c>
      <c r="L874" s="47" t="str">
        <f>IF($A874="", "", IFERROR(($E874 * Premissas!$B$4 * ($I874/$B874) + $E873 * Premissas!$B$5 * ($I873/$B873)) * Premissas!$B$7, 0))</f>
        <v/>
      </c>
      <c r="AI874" s="47" t="str">
        <f>IF($A874="", "", IFERROR(($I874 * Premissas!$B$5) + ($E874 * ($I874/$B874) * Premissas!$B$4 * 12), 0))</f>
        <v/>
      </c>
      <c r="AJ874" s="47" t="str">
        <f>IF($A874="", "", $AI874 * Premissas!$B$12)</f>
        <v/>
      </c>
      <c r="AK874" s="47" t="str">
        <f t="shared" si="13"/>
        <v/>
      </c>
      <c r="AL874" s="47"/>
      <c r="AM874" s="47"/>
    </row>
    <row r="875" ht="15.75" customHeight="1">
      <c r="K875" s="47" t="str">
        <f>IF($A875="", "", IFERROR($E875 * ($I875/$B875) * Premissas!$B$6, 0))</f>
        <v/>
      </c>
      <c r="L875" s="47" t="str">
        <f>IF($A875="", "", IFERROR(($E875 * Premissas!$B$4 * ($I875/$B875) + $E874 * Premissas!$B$5 * ($I874/$B874)) * Premissas!$B$7, 0))</f>
        <v/>
      </c>
      <c r="AI875" s="47" t="str">
        <f>IF($A875="", "", IFERROR(($I875 * Premissas!$B$5) + ($E875 * ($I875/$B875) * Premissas!$B$4 * 12), 0))</f>
        <v/>
      </c>
      <c r="AJ875" s="47" t="str">
        <f>IF($A875="", "", $AI875 * Premissas!$B$12)</f>
        <v/>
      </c>
      <c r="AK875" s="47" t="str">
        <f t="shared" si="13"/>
        <v/>
      </c>
      <c r="AL875" s="47"/>
      <c r="AM875" s="47"/>
    </row>
    <row r="876" ht="15.75" customHeight="1">
      <c r="K876" s="47" t="str">
        <f>IF($A876="", "", IFERROR($E876 * ($I876/$B876) * Premissas!$B$6, 0))</f>
        <v/>
      </c>
      <c r="L876" s="47" t="str">
        <f>IF($A876="", "", IFERROR(($E876 * Premissas!$B$4 * ($I876/$B876) + $E875 * Premissas!$B$5 * ($I875/$B875)) * Premissas!$B$7, 0))</f>
        <v/>
      </c>
      <c r="AI876" s="47" t="str">
        <f>IF($A876="", "", IFERROR(($I876 * Premissas!$B$5) + ($E876 * ($I876/$B876) * Premissas!$B$4 * 12), 0))</f>
        <v/>
      </c>
      <c r="AJ876" s="47" t="str">
        <f>IF($A876="", "", $AI876 * Premissas!$B$12)</f>
        <v/>
      </c>
      <c r="AK876" s="47" t="str">
        <f t="shared" si="13"/>
        <v/>
      </c>
      <c r="AL876" s="47"/>
      <c r="AM876" s="47"/>
    </row>
    <row r="877" ht="15.75" customHeight="1">
      <c r="K877" s="47" t="str">
        <f>IF($A877="", "", IFERROR($E877 * ($I877/$B877) * Premissas!$B$6, 0))</f>
        <v/>
      </c>
      <c r="L877" s="47" t="str">
        <f>IF($A877="", "", IFERROR(($E877 * Premissas!$B$4 * ($I877/$B877) + $E876 * Premissas!$B$5 * ($I876/$B876)) * Premissas!$B$7, 0))</f>
        <v/>
      </c>
      <c r="AI877" s="47" t="str">
        <f>IF($A877="", "", IFERROR(($I877 * Premissas!$B$5) + ($E877 * ($I877/$B877) * Premissas!$B$4 * 12), 0))</f>
        <v/>
      </c>
      <c r="AJ877" s="47" t="str">
        <f>IF($A877="", "", $AI877 * Premissas!$B$12)</f>
        <v/>
      </c>
      <c r="AK877" s="47" t="str">
        <f t="shared" si="13"/>
        <v/>
      </c>
      <c r="AL877" s="47"/>
      <c r="AM877" s="47"/>
    </row>
    <row r="878" ht="15.75" customHeight="1">
      <c r="K878" s="47" t="str">
        <f>IF($A878="", "", IFERROR($E878 * ($I878/$B878) * Premissas!$B$6, 0))</f>
        <v/>
      </c>
      <c r="L878" s="47" t="str">
        <f>IF($A878="", "", IFERROR(($E878 * Premissas!$B$4 * ($I878/$B878) + $E877 * Premissas!$B$5 * ($I877/$B877)) * Premissas!$B$7, 0))</f>
        <v/>
      </c>
      <c r="AI878" s="47" t="str">
        <f>IF($A878="", "", IFERROR(($I878 * Premissas!$B$5) + ($E878 * ($I878/$B878) * Premissas!$B$4 * 12), 0))</f>
        <v/>
      </c>
      <c r="AJ878" s="47" t="str">
        <f>IF($A878="", "", $AI878 * Premissas!$B$12)</f>
        <v/>
      </c>
      <c r="AK878" s="47" t="str">
        <f t="shared" si="13"/>
        <v/>
      </c>
      <c r="AL878" s="47"/>
      <c r="AM878" s="47"/>
    </row>
    <row r="879" ht="15.75" customHeight="1">
      <c r="K879" s="47" t="str">
        <f>IF($A879="", "", IFERROR($E879 * ($I879/$B879) * Premissas!$B$6, 0))</f>
        <v/>
      </c>
      <c r="L879" s="47" t="str">
        <f>IF($A879="", "", IFERROR(($E879 * Premissas!$B$4 * ($I879/$B879) + $E878 * Premissas!$B$5 * ($I878/$B878)) * Premissas!$B$7, 0))</f>
        <v/>
      </c>
      <c r="AI879" s="47" t="str">
        <f>IF($A879="", "", IFERROR(($I879 * Premissas!$B$5) + ($E879 * ($I879/$B879) * Premissas!$B$4 * 12), 0))</f>
        <v/>
      </c>
      <c r="AJ879" s="47" t="str">
        <f>IF($A879="", "", $AI879 * Premissas!$B$12)</f>
        <v/>
      </c>
      <c r="AK879" s="47" t="str">
        <f t="shared" si="13"/>
        <v/>
      </c>
      <c r="AL879" s="47"/>
      <c r="AM879" s="47"/>
    </row>
    <row r="880" ht="15.75" customHeight="1">
      <c r="K880" s="47" t="str">
        <f>IF($A880="", "", IFERROR($E880 * ($I880/$B880) * Premissas!$B$6, 0))</f>
        <v/>
      </c>
      <c r="L880" s="47" t="str">
        <f>IF($A880="", "", IFERROR(($E880 * Premissas!$B$4 * ($I880/$B880) + $E879 * Premissas!$B$5 * ($I879/$B879)) * Premissas!$B$7, 0))</f>
        <v/>
      </c>
      <c r="AI880" s="47" t="str">
        <f>IF($A880="", "", IFERROR(($I880 * Premissas!$B$5) + ($E880 * ($I880/$B880) * Premissas!$B$4 * 12), 0))</f>
        <v/>
      </c>
      <c r="AJ880" s="47" t="str">
        <f>IF($A880="", "", $AI880 * Premissas!$B$12)</f>
        <v/>
      </c>
      <c r="AK880" s="47" t="str">
        <f t="shared" si="13"/>
        <v/>
      </c>
      <c r="AL880" s="47"/>
      <c r="AM880" s="47"/>
    </row>
    <row r="881" ht="15.75" customHeight="1">
      <c r="K881" s="47" t="str">
        <f>IF($A881="", "", IFERROR($E881 * ($I881/$B881) * Premissas!$B$6, 0))</f>
        <v/>
      </c>
      <c r="L881" s="47" t="str">
        <f>IF($A881="", "", IFERROR(($E881 * Premissas!$B$4 * ($I881/$B881) + $E880 * Premissas!$B$5 * ($I880/$B880)) * Premissas!$B$7, 0))</f>
        <v/>
      </c>
      <c r="AI881" s="47" t="str">
        <f>IF($A881="", "", IFERROR(($I881 * Premissas!$B$5) + ($E881 * ($I881/$B881) * Premissas!$B$4 * 12), 0))</f>
        <v/>
      </c>
      <c r="AJ881" s="47" t="str">
        <f>IF($A881="", "", $AI881 * Premissas!$B$12)</f>
        <v/>
      </c>
      <c r="AK881" s="47" t="str">
        <f t="shared" si="13"/>
        <v/>
      </c>
      <c r="AL881" s="47"/>
      <c r="AM881" s="47"/>
    </row>
    <row r="882" ht="15.75" customHeight="1">
      <c r="K882" s="47" t="str">
        <f>IF($A882="", "", IFERROR($E882 * ($I882/$B882) * Premissas!$B$6, 0))</f>
        <v/>
      </c>
      <c r="L882" s="47" t="str">
        <f>IF($A882="", "", IFERROR(($E882 * Premissas!$B$4 * ($I882/$B882) + $E881 * Premissas!$B$5 * ($I881/$B881)) * Premissas!$B$7, 0))</f>
        <v/>
      </c>
      <c r="AI882" s="47" t="str">
        <f>IF($A882="", "", IFERROR(($I882 * Premissas!$B$5) + ($E882 * ($I882/$B882) * Premissas!$B$4 * 12), 0))</f>
        <v/>
      </c>
      <c r="AJ882" s="47" t="str">
        <f>IF($A882="", "", $AI882 * Premissas!$B$12)</f>
        <v/>
      </c>
      <c r="AK882" s="47" t="str">
        <f t="shared" si="13"/>
        <v/>
      </c>
      <c r="AL882" s="47"/>
      <c r="AM882" s="47"/>
    </row>
    <row r="883" ht="15.75" customHeight="1">
      <c r="K883" s="47" t="str">
        <f>IF($A883="", "", IFERROR($E883 * ($I883/$B883) * Premissas!$B$6, 0))</f>
        <v/>
      </c>
      <c r="L883" s="47" t="str">
        <f>IF($A883="", "", IFERROR(($E883 * Premissas!$B$4 * ($I883/$B883) + $E882 * Premissas!$B$5 * ($I882/$B882)) * Premissas!$B$7, 0))</f>
        <v/>
      </c>
      <c r="AI883" s="47" t="str">
        <f>IF($A883="", "", IFERROR(($I883 * Premissas!$B$5) + ($E883 * ($I883/$B883) * Premissas!$B$4 * 12), 0))</f>
        <v/>
      </c>
      <c r="AJ883" s="47" t="str">
        <f>IF($A883="", "", $AI883 * Premissas!$B$12)</f>
        <v/>
      </c>
      <c r="AK883" s="47" t="str">
        <f t="shared" si="13"/>
        <v/>
      </c>
      <c r="AL883" s="47"/>
      <c r="AM883" s="47"/>
    </row>
    <row r="884" ht="15.75" customHeight="1">
      <c r="K884" s="47" t="str">
        <f>IF($A884="", "", IFERROR($E884 * ($I884/$B884) * Premissas!$B$6, 0))</f>
        <v/>
      </c>
      <c r="L884" s="47" t="str">
        <f>IF($A884="", "", IFERROR(($E884 * Premissas!$B$4 * ($I884/$B884) + $E883 * Premissas!$B$5 * ($I883/$B883)) * Premissas!$B$7, 0))</f>
        <v/>
      </c>
      <c r="AI884" s="47" t="str">
        <f>IF($A884="", "", IFERROR(($I884 * Premissas!$B$5) + ($E884 * ($I884/$B884) * Premissas!$B$4 * 12), 0))</f>
        <v/>
      </c>
      <c r="AJ884" s="47" t="str">
        <f>IF($A884="", "", $AI884 * Premissas!$B$12)</f>
        <v/>
      </c>
      <c r="AK884" s="47" t="str">
        <f t="shared" si="13"/>
        <v/>
      </c>
      <c r="AL884" s="47"/>
      <c r="AM884" s="47"/>
    </row>
    <row r="885" ht="15.75" customHeight="1">
      <c r="K885" s="47" t="str">
        <f>IF($A885="", "", IFERROR($E885 * ($I885/$B885) * Premissas!$B$6, 0))</f>
        <v/>
      </c>
      <c r="L885" s="47" t="str">
        <f>IF($A885="", "", IFERROR(($E885 * Premissas!$B$4 * ($I885/$B885) + $E884 * Premissas!$B$5 * ($I884/$B884)) * Premissas!$B$7, 0))</f>
        <v/>
      </c>
      <c r="AI885" s="47" t="str">
        <f>IF($A885="", "", IFERROR(($I885 * Premissas!$B$5) + ($E885 * ($I885/$B885) * Premissas!$B$4 * 12), 0))</f>
        <v/>
      </c>
      <c r="AJ885" s="47" t="str">
        <f>IF($A885="", "", $AI885 * Premissas!$B$12)</f>
        <v/>
      </c>
      <c r="AK885" s="47" t="str">
        <f t="shared" si="13"/>
        <v/>
      </c>
      <c r="AL885" s="47"/>
      <c r="AM885" s="47"/>
    </row>
    <row r="886" ht="15.75" customHeight="1">
      <c r="K886" s="47" t="str">
        <f>IF($A886="", "", IFERROR($E886 * ($I886/$B886) * Premissas!$B$6, 0))</f>
        <v/>
      </c>
      <c r="L886" s="47" t="str">
        <f>IF($A886="", "", IFERROR(($E886 * Premissas!$B$4 * ($I886/$B886) + $E885 * Premissas!$B$5 * ($I885/$B885)) * Premissas!$B$7, 0))</f>
        <v/>
      </c>
      <c r="AI886" s="47" t="str">
        <f>IF($A886="", "", IFERROR(($I886 * Premissas!$B$5) + ($E886 * ($I886/$B886) * Premissas!$B$4 * 12), 0))</f>
        <v/>
      </c>
      <c r="AJ886" s="47" t="str">
        <f>IF($A886="", "", $AI886 * Premissas!$B$12)</f>
        <v/>
      </c>
      <c r="AK886" s="47" t="str">
        <f t="shared" si="13"/>
        <v/>
      </c>
      <c r="AL886" s="47"/>
      <c r="AM886" s="47"/>
    </row>
    <row r="887" ht="15.75" customHeight="1">
      <c r="K887" s="47" t="str">
        <f>IF($A887="", "", IFERROR($E887 * ($I887/$B887) * Premissas!$B$6, 0))</f>
        <v/>
      </c>
      <c r="L887" s="47" t="str">
        <f>IF($A887="", "", IFERROR(($E887 * Premissas!$B$4 * ($I887/$B887) + $E886 * Premissas!$B$5 * ($I886/$B886)) * Premissas!$B$7, 0))</f>
        <v/>
      </c>
      <c r="AI887" s="47" t="str">
        <f>IF($A887="", "", IFERROR(($I887 * Premissas!$B$5) + ($E887 * ($I887/$B887) * Premissas!$B$4 * 12), 0))</f>
        <v/>
      </c>
      <c r="AJ887" s="47" t="str">
        <f>IF($A887="", "", $AI887 * Premissas!$B$12)</f>
        <v/>
      </c>
      <c r="AK887" s="47" t="str">
        <f t="shared" si="13"/>
        <v/>
      </c>
      <c r="AL887" s="47"/>
      <c r="AM887" s="47"/>
    </row>
    <row r="888" ht="15.75" customHeight="1">
      <c r="K888" s="47" t="str">
        <f>IF($A888="", "", IFERROR($E888 * ($I888/$B888) * Premissas!$B$6, 0))</f>
        <v/>
      </c>
      <c r="L888" s="47" t="str">
        <f>IF($A888="", "", IFERROR(($E888 * Premissas!$B$4 * ($I888/$B888) + $E887 * Premissas!$B$5 * ($I887/$B887)) * Premissas!$B$7, 0))</f>
        <v/>
      </c>
      <c r="AI888" s="47" t="str">
        <f>IF($A888="", "", IFERROR(($I888 * Premissas!$B$5) + ($E888 * ($I888/$B888) * Premissas!$B$4 * 12), 0))</f>
        <v/>
      </c>
      <c r="AJ888" s="47" t="str">
        <f>IF($A888="", "", $AI888 * Premissas!$B$12)</f>
        <v/>
      </c>
      <c r="AK888" s="47" t="str">
        <f t="shared" si="13"/>
        <v/>
      </c>
      <c r="AL888" s="47"/>
      <c r="AM888" s="47"/>
    </row>
    <row r="889" ht="15.75" customHeight="1">
      <c r="K889" s="47" t="str">
        <f>IF($A889="", "", IFERROR($E889 * ($I889/$B889) * Premissas!$B$6, 0))</f>
        <v/>
      </c>
      <c r="L889" s="47" t="str">
        <f>IF($A889="", "", IFERROR(($E889 * Premissas!$B$4 * ($I889/$B889) + $E888 * Premissas!$B$5 * ($I888/$B888)) * Premissas!$B$7, 0))</f>
        <v/>
      </c>
      <c r="AI889" s="47" t="str">
        <f>IF($A889="", "", IFERROR(($I889 * Premissas!$B$5) + ($E889 * ($I889/$B889) * Premissas!$B$4 * 12), 0))</f>
        <v/>
      </c>
      <c r="AJ889" s="47" t="str">
        <f>IF($A889="", "", $AI889 * Premissas!$B$12)</f>
        <v/>
      </c>
      <c r="AK889" s="47" t="str">
        <f t="shared" si="13"/>
        <v/>
      </c>
      <c r="AL889" s="47"/>
      <c r="AM889" s="47"/>
    </row>
    <row r="890" ht="15.75" customHeight="1">
      <c r="K890" s="47" t="str">
        <f>IF($A890="", "", IFERROR($E890 * ($I890/$B890) * Premissas!$B$6, 0))</f>
        <v/>
      </c>
      <c r="L890" s="47" t="str">
        <f>IF($A890="", "", IFERROR(($E890 * Premissas!$B$4 * ($I890/$B890) + $E889 * Premissas!$B$5 * ($I889/$B889)) * Premissas!$B$7, 0))</f>
        <v/>
      </c>
      <c r="AI890" s="47" t="str">
        <f>IF($A890="", "", IFERROR(($I890 * Premissas!$B$5) + ($E890 * ($I890/$B890) * Premissas!$B$4 * 12), 0))</f>
        <v/>
      </c>
      <c r="AJ890" s="47" t="str">
        <f>IF($A890="", "", $AI890 * Premissas!$B$12)</f>
        <v/>
      </c>
      <c r="AK890" s="47" t="str">
        <f t="shared" si="13"/>
        <v/>
      </c>
      <c r="AL890" s="47"/>
      <c r="AM890" s="47"/>
    </row>
    <row r="891" ht="15.75" customHeight="1">
      <c r="K891" s="47" t="str">
        <f>IF($A891="", "", IFERROR($E891 * ($I891/$B891) * Premissas!$B$6, 0))</f>
        <v/>
      </c>
      <c r="L891" s="47" t="str">
        <f>IF($A891="", "", IFERROR(($E891 * Premissas!$B$4 * ($I891/$B891) + $E890 * Premissas!$B$5 * ($I890/$B890)) * Premissas!$B$7, 0))</f>
        <v/>
      </c>
      <c r="AI891" s="47" t="str">
        <f>IF($A891="", "", IFERROR(($I891 * Premissas!$B$5) + ($E891 * ($I891/$B891) * Premissas!$B$4 * 12), 0))</f>
        <v/>
      </c>
      <c r="AJ891" s="47" t="str">
        <f>IF($A891="", "", $AI891 * Premissas!$B$12)</f>
        <v/>
      </c>
      <c r="AK891" s="47" t="str">
        <f t="shared" si="13"/>
        <v/>
      </c>
      <c r="AL891" s="47"/>
      <c r="AM891" s="47"/>
    </row>
    <row r="892" ht="15.75" customHeight="1">
      <c r="K892" s="47" t="str">
        <f>IF($A892="", "", IFERROR($E892 * ($I892/$B892) * Premissas!$B$6, 0))</f>
        <v/>
      </c>
      <c r="L892" s="47" t="str">
        <f>IF($A892="", "", IFERROR(($E892 * Premissas!$B$4 * ($I892/$B892) + $E891 * Premissas!$B$5 * ($I891/$B891)) * Premissas!$B$7, 0))</f>
        <v/>
      </c>
      <c r="AI892" s="47" t="str">
        <f>IF($A892="", "", IFERROR(($I892 * Premissas!$B$5) + ($E892 * ($I892/$B892) * Premissas!$B$4 * 12), 0))</f>
        <v/>
      </c>
      <c r="AJ892" s="47" t="str">
        <f>IF($A892="", "", $AI892 * Premissas!$B$12)</f>
        <v/>
      </c>
      <c r="AK892" s="47" t="str">
        <f t="shared" si="13"/>
        <v/>
      </c>
      <c r="AL892" s="47"/>
      <c r="AM892" s="47"/>
    </row>
    <row r="893" ht="15.75" customHeight="1">
      <c r="K893" s="47" t="str">
        <f>IF($A893="", "", IFERROR($E893 * ($I893/$B893) * Premissas!$B$6, 0))</f>
        <v/>
      </c>
      <c r="L893" s="47" t="str">
        <f>IF($A893="", "", IFERROR(($E893 * Premissas!$B$4 * ($I893/$B893) + $E892 * Premissas!$B$5 * ($I892/$B892)) * Premissas!$B$7, 0))</f>
        <v/>
      </c>
      <c r="AI893" s="47" t="str">
        <f>IF($A893="", "", IFERROR(($I893 * Premissas!$B$5) + ($E893 * ($I893/$B893) * Premissas!$B$4 * 12), 0))</f>
        <v/>
      </c>
      <c r="AJ893" s="47" t="str">
        <f>IF($A893="", "", $AI893 * Premissas!$B$12)</f>
        <v/>
      </c>
      <c r="AK893" s="47" t="str">
        <f t="shared" si="13"/>
        <v/>
      </c>
      <c r="AL893" s="47"/>
      <c r="AM893" s="47"/>
    </row>
    <row r="894" ht="15.75" customHeight="1">
      <c r="K894" s="47" t="str">
        <f>IF($A894="", "", IFERROR($E894 * ($I894/$B894) * Premissas!$B$6, 0))</f>
        <v/>
      </c>
      <c r="L894" s="47" t="str">
        <f>IF($A894="", "", IFERROR(($E894 * Premissas!$B$4 * ($I894/$B894) + $E893 * Premissas!$B$5 * ($I893/$B893)) * Premissas!$B$7, 0))</f>
        <v/>
      </c>
      <c r="AI894" s="47" t="str">
        <f>IF($A894="", "", IFERROR(($I894 * Premissas!$B$5) + ($E894 * ($I894/$B894) * Premissas!$B$4 * 12), 0))</f>
        <v/>
      </c>
      <c r="AJ894" s="47" t="str">
        <f>IF($A894="", "", $AI894 * Premissas!$B$12)</f>
        <v/>
      </c>
      <c r="AK894" s="47" t="str">
        <f t="shared" si="13"/>
        <v/>
      </c>
      <c r="AL894" s="47"/>
      <c r="AM894" s="47"/>
    </row>
    <row r="895" ht="15.75" customHeight="1">
      <c r="K895" s="47" t="str">
        <f>IF($A895="", "", IFERROR($E895 * ($I895/$B895) * Premissas!$B$6, 0))</f>
        <v/>
      </c>
      <c r="L895" s="47" t="str">
        <f>IF($A895="", "", IFERROR(($E895 * Premissas!$B$4 * ($I895/$B895) + $E894 * Premissas!$B$5 * ($I894/$B894)) * Premissas!$B$7, 0))</f>
        <v/>
      </c>
      <c r="AI895" s="47" t="str">
        <f>IF($A895="", "", IFERROR(($I895 * Premissas!$B$5) + ($E895 * ($I895/$B895) * Premissas!$B$4 * 12), 0))</f>
        <v/>
      </c>
      <c r="AJ895" s="47" t="str">
        <f>IF($A895="", "", $AI895 * Premissas!$B$12)</f>
        <v/>
      </c>
      <c r="AK895" s="47" t="str">
        <f t="shared" si="13"/>
        <v/>
      </c>
      <c r="AL895" s="47"/>
      <c r="AM895" s="47"/>
    </row>
    <row r="896" ht="15.75" customHeight="1">
      <c r="K896" s="47" t="str">
        <f>IF($A896="", "", IFERROR($E896 * ($I896/$B896) * Premissas!$B$6, 0))</f>
        <v/>
      </c>
      <c r="L896" s="47" t="str">
        <f>IF($A896="", "", IFERROR(($E896 * Premissas!$B$4 * ($I896/$B896) + $E895 * Premissas!$B$5 * ($I895/$B895)) * Premissas!$B$7, 0))</f>
        <v/>
      </c>
      <c r="AI896" s="47" t="str">
        <f>IF($A896="", "", IFERROR(($I896 * Premissas!$B$5) + ($E896 * ($I896/$B896) * Premissas!$B$4 * 12), 0))</f>
        <v/>
      </c>
      <c r="AJ896" s="47" t="str">
        <f>IF($A896="", "", $AI896 * Premissas!$B$12)</f>
        <v/>
      </c>
      <c r="AK896" s="47" t="str">
        <f t="shared" si="13"/>
        <v/>
      </c>
      <c r="AL896" s="47"/>
      <c r="AM896" s="47"/>
    </row>
    <row r="897" ht="15.75" customHeight="1">
      <c r="K897" s="47" t="str">
        <f>IF($A897="", "", IFERROR($E897 * ($I897/$B897) * Premissas!$B$6, 0))</f>
        <v/>
      </c>
      <c r="L897" s="47" t="str">
        <f>IF($A897="", "", IFERROR(($E897 * Premissas!$B$4 * ($I897/$B897) + $E896 * Premissas!$B$5 * ($I896/$B896)) * Premissas!$B$7, 0))</f>
        <v/>
      </c>
      <c r="AI897" s="47" t="str">
        <f>IF($A897="", "", IFERROR(($I897 * Premissas!$B$5) + ($E897 * ($I897/$B897) * Premissas!$B$4 * 12), 0))</f>
        <v/>
      </c>
      <c r="AJ897" s="47" t="str">
        <f>IF($A897="", "", $AI897 * Premissas!$B$12)</f>
        <v/>
      </c>
      <c r="AK897" s="47" t="str">
        <f t="shared" si="13"/>
        <v/>
      </c>
      <c r="AL897" s="47"/>
      <c r="AM897" s="47"/>
    </row>
    <row r="898" ht="15.75" customHeight="1">
      <c r="K898" s="47" t="str">
        <f>IF($A898="", "", IFERROR($E898 * ($I898/$B898) * Premissas!$B$6, 0))</f>
        <v/>
      </c>
      <c r="L898" s="47" t="str">
        <f>IF($A898="", "", IFERROR(($E898 * Premissas!$B$4 * ($I898/$B898) + $E897 * Premissas!$B$5 * ($I897/$B897)) * Premissas!$B$7, 0))</f>
        <v/>
      </c>
      <c r="AI898" s="47" t="str">
        <f>IF($A898="", "", IFERROR(($I898 * Premissas!$B$5) + ($E898 * ($I898/$B898) * Premissas!$B$4 * 12), 0))</f>
        <v/>
      </c>
      <c r="AJ898" s="47" t="str">
        <f>IF($A898="", "", $AI898 * Premissas!$B$12)</f>
        <v/>
      </c>
      <c r="AK898" s="47" t="str">
        <f t="shared" si="13"/>
        <v/>
      </c>
      <c r="AL898" s="47"/>
      <c r="AM898" s="47"/>
    </row>
    <row r="899" ht="15.75" customHeight="1">
      <c r="K899" s="47" t="str">
        <f>IF($A899="", "", IFERROR($E899 * ($I899/$B899) * Premissas!$B$6, 0))</f>
        <v/>
      </c>
      <c r="L899" s="47" t="str">
        <f>IF($A899="", "", IFERROR(($E899 * Premissas!$B$4 * ($I899/$B899) + $E898 * Premissas!$B$5 * ($I898/$B898)) * Premissas!$B$7, 0))</f>
        <v/>
      </c>
      <c r="AI899" s="47" t="str">
        <f>IF($A899="", "", IFERROR(($I899 * Premissas!$B$5) + ($E899 * ($I899/$B899) * Premissas!$B$4 * 12), 0))</f>
        <v/>
      </c>
      <c r="AJ899" s="47" t="str">
        <f>IF($A899="", "", $AI899 * Premissas!$B$12)</f>
        <v/>
      </c>
      <c r="AK899" s="47" t="str">
        <f t="shared" si="13"/>
        <v/>
      </c>
      <c r="AL899" s="47"/>
      <c r="AM899" s="47"/>
    </row>
    <row r="900" ht="15.75" customHeight="1">
      <c r="K900" s="47" t="str">
        <f>IF($A900="", "", IFERROR($E900 * ($I900/$B900) * Premissas!$B$6, 0))</f>
        <v/>
      </c>
      <c r="L900" s="47" t="str">
        <f>IF($A900="", "", IFERROR(($E900 * Premissas!$B$4 * ($I900/$B900) + $E899 * Premissas!$B$5 * ($I899/$B899)) * Premissas!$B$7, 0))</f>
        <v/>
      </c>
      <c r="AI900" s="47" t="str">
        <f>IF($A900="", "", IFERROR(($I900 * Premissas!$B$5) + ($E900 * ($I900/$B900) * Premissas!$B$4 * 12), 0))</f>
        <v/>
      </c>
      <c r="AJ900" s="47" t="str">
        <f>IF($A900="", "", $AI900 * Premissas!$B$12)</f>
        <v/>
      </c>
      <c r="AK900" s="47" t="str">
        <f t="shared" si="13"/>
        <v/>
      </c>
      <c r="AL900" s="47"/>
      <c r="AM900" s="47"/>
    </row>
    <row r="901" ht="15.75" customHeight="1">
      <c r="K901" s="47" t="str">
        <f>IF($A901="", "", IFERROR($E901 * ($I901/$B901) * Premissas!$B$6, 0))</f>
        <v/>
      </c>
      <c r="L901" s="47" t="str">
        <f>IF($A901="", "", IFERROR(($E901 * Premissas!$B$4 * ($I901/$B901) + $E900 * Premissas!$B$5 * ($I900/$B900)) * Premissas!$B$7, 0))</f>
        <v/>
      </c>
      <c r="AI901" s="47" t="str">
        <f>IF($A901="", "", IFERROR(($I901 * Premissas!$B$5) + ($E901 * ($I901/$B901) * Premissas!$B$4 * 12), 0))</f>
        <v/>
      </c>
      <c r="AJ901" s="47" t="str">
        <f>IF($A901="", "", $AI901 * Premissas!$B$12)</f>
        <v/>
      </c>
      <c r="AK901" s="47" t="str">
        <f t="shared" si="13"/>
        <v/>
      </c>
      <c r="AL901" s="47"/>
      <c r="AM901" s="47"/>
    </row>
    <row r="902" ht="15.75" customHeight="1">
      <c r="K902" s="47" t="str">
        <f>IF($A902="", "", IFERROR($E902 * ($I902/$B902) * Premissas!$B$6, 0))</f>
        <v/>
      </c>
      <c r="L902" s="47" t="str">
        <f>IF($A902="", "", IFERROR(($E902 * Premissas!$B$4 * ($I902/$B902) + $E901 * Premissas!$B$5 * ($I901/$B901)) * Premissas!$B$7, 0))</f>
        <v/>
      </c>
      <c r="AI902" s="47" t="str">
        <f>IF($A902="", "", IFERROR(($I902 * Premissas!$B$5) + ($E902 * ($I902/$B902) * Premissas!$B$4 * 12), 0))</f>
        <v/>
      </c>
      <c r="AJ902" s="47" t="str">
        <f>IF($A902="", "", $AI902 * Premissas!$B$12)</f>
        <v/>
      </c>
      <c r="AK902" s="47" t="str">
        <f t="shared" si="13"/>
        <v/>
      </c>
      <c r="AL902" s="47"/>
      <c r="AM902" s="47"/>
    </row>
    <row r="903" ht="15.75" customHeight="1">
      <c r="K903" s="47" t="str">
        <f>IF($A903="", "", IFERROR($E903 * ($I903/$B903) * Premissas!$B$6, 0))</f>
        <v/>
      </c>
      <c r="L903" s="47" t="str">
        <f>IF($A903="", "", IFERROR(($E903 * Premissas!$B$4 * ($I903/$B903) + $E902 * Premissas!$B$5 * ($I902/$B902)) * Premissas!$B$7, 0))</f>
        <v/>
      </c>
      <c r="AI903" s="47" t="str">
        <f>IF($A903="", "", IFERROR(($I903 * Premissas!$B$5) + ($E903 * ($I903/$B903) * Premissas!$B$4 * 12), 0))</f>
        <v/>
      </c>
      <c r="AJ903" s="47" t="str">
        <f>IF($A903="", "", $AI903 * Premissas!$B$12)</f>
        <v/>
      </c>
      <c r="AK903" s="47" t="str">
        <f t="shared" si="13"/>
        <v/>
      </c>
      <c r="AL903" s="47"/>
      <c r="AM903" s="47"/>
    </row>
    <row r="904" ht="15.75" customHeight="1">
      <c r="K904" s="47" t="str">
        <f>IF($A904="", "", IFERROR($E904 * ($I904/$B904) * Premissas!$B$6, 0))</f>
        <v/>
      </c>
      <c r="L904" s="47" t="str">
        <f>IF($A904="", "", IFERROR(($E904 * Premissas!$B$4 * ($I904/$B904) + $E903 * Premissas!$B$5 * ($I903/$B903)) * Premissas!$B$7, 0))</f>
        <v/>
      </c>
      <c r="AI904" s="47" t="str">
        <f>IF($A904="", "", IFERROR(($I904 * Premissas!$B$5) + ($E904 * ($I904/$B904) * Premissas!$B$4 * 12), 0))</f>
        <v/>
      </c>
      <c r="AJ904" s="47" t="str">
        <f>IF($A904="", "", $AI904 * Premissas!$B$12)</f>
        <v/>
      </c>
      <c r="AK904" s="47" t="str">
        <f t="shared" si="13"/>
        <v/>
      </c>
      <c r="AL904" s="47"/>
      <c r="AM904" s="47"/>
    </row>
    <row r="905" ht="15.75" customHeight="1">
      <c r="K905" s="47" t="str">
        <f>IF($A905="", "", IFERROR($E905 * ($I905/$B905) * Premissas!$B$6, 0))</f>
        <v/>
      </c>
      <c r="L905" s="47" t="str">
        <f>IF($A905="", "", IFERROR(($E905 * Premissas!$B$4 * ($I905/$B905) + $E904 * Premissas!$B$5 * ($I904/$B904)) * Premissas!$B$7, 0))</f>
        <v/>
      </c>
      <c r="AI905" s="47" t="str">
        <f>IF($A905="", "", IFERROR(($I905 * Premissas!$B$5) + ($E905 * ($I905/$B905) * Premissas!$B$4 * 12), 0))</f>
        <v/>
      </c>
      <c r="AJ905" s="47" t="str">
        <f>IF($A905="", "", $AI905 * Premissas!$B$12)</f>
        <v/>
      </c>
      <c r="AK905" s="47" t="str">
        <f t="shared" si="13"/>
        <v/>
      </c>
      <c r="AL905" s="47"/>
      <c r="AM905" s="47"/>
    </row>
    <row r="906" ht="15.75" customHeight="1">
      <c r="K906" s="47" t="str">
        <f>IF($A906="", "", IFERROR($E906 * ($I906/$B906) * Premissas!$B$6, 0))</f>
        <v/>
      </c>
      <c r="L906" s="47" t="str">
        <f>IF($A906="", "", IFERROR(($E906 * Premissas!$B$4 * ($I906/$B906) + $E905 * Premissas!$B$5 * ($I905/$B905)) * Premissas!$B$7, 0))</f>
        <v/>
      </c>
      <c r="AI906" s="47" t="str">
        <f>IF($A906="", "", IFERROR(($I906 * Premissas!$B$5) + ($E906 * ($I906/$B906) * Premissas!$B$4 * 12), 0))</f>
        <v/>
      </c>
      <c r="AJ906" s="47" t="str">
        <f>IF($A906="", "", $AI906 * Premissas!$B$12)</f>
        <v/>
      </c>
      <c r="AK906" s="47" t="str">
        <f t="shared" si="13"/>
        <v/>
      </c>
      <c r="AL906" s="47"/>
      <c r="AM906" s="47"/>
    </row>
    <row r="907" ht="15.75" customHeight="1">
      <c r="K907" s="47" t="str">
        <f>IF($A907="", "", IFERROR($E907 * ($I907/$B907) * Premissas!$B$6, 0))</f>
        <v/>
      </c>
      <c r="L907" s="47" t="str">
        <f>IF($A907="", "", IFERROR(($E907 * Premissas!$B$4 * ($I907/$B907) + $E906 * Premissas!$B$5 * ($I906/$B906)) * Premissas!$B$7, 0))</f>
        <v/>
      </c>
      <c r="AI907" s="47" t="str">
        <f>IF($A907="", "", IFERROR(($I907 * Premissas!$B$5) + ($E907 * ($I907/$B907) * Premissas!$B$4 * 12), 0))</f>
        <v/>
      </c>
      <c r="AJ907" s="47" t="str">
        <f>IF($A907="", "", $AI907 * Premissas!$B$12)</f>
        <v/>
      </c>
      <c r="AK907" s="47" t="str">
        <f t="shared" si="13"/>
        <v/>
      </c>
      <c r="AL907" s="47"/>
      <c r="AM907" s="47"/>
    </row>
    <row r="908" ht="15.75" customHeight="1">
      <c r="K908" s="47" t="str">
        <f>IF($A908="", "", IFERROR($E908 * ($I908/$B908) * Premissas!$B$6, 0))</f>
        <v/>
      </c>
      <c r="L908" s="47" t="str">
        <f>IF($A908="", "", IFERROR(($E908 * Premissas!$B$4 * ($I908/$B908) + $E907 * Premissas!$B$5 * ($I907/$B907)) * Premissas!$B$7, 0))</f>
        <v/>
      </c>
      <c r="AI908" s="47" t="str">
        <f>IF($A908="", "", IFERROR(($I908 * Premissas!$B$5) + ($E908 * ($I908/$B908) * Premissas!$B$4 * 12), 0))</f>
        <v/>
      </c>
      <c r="AJ908" s="47" t="str">
        <f>IF($A908="", "", $AI908 * Premissas!$B$12)</f>
        <v/>
      </c>
      <c r="AK908" s="47" t="str">
        <f t="shared" si="13"/>
        <v/>
      </c>
      <c r="AL908" s="47"/>
      <c r="AM908" s="47"/>
    </row>
    <row r="909" ht="15.75" customHeight="1">
      <c r="K909" s="47" t="str">
        <f>IF($A909="", "", IFERROR($E909 * ($I909/$B909) * Premissas!$B$6, 0))</f>
        <v/>
      </c>
      <c r="L909" s="47" t="str">
        <f>IF($A909="", "", IFERROR(($E909 * Premissas!$B$4 * ($I909/$B909) + $E908 * Premissas!$B$5 * ($I908/$B908)) * Premissas!$B$7, 0))</f>
        <v/>
      </c>
      <c r="AI909" s="47" t="str">
        <f>IF($A909="", "", IFERROR(($I909 * Premissas!$B$5) + ($E909 * ($I909/$B909) * Premissas!$B$4 * 12), 0))</f>
        <v/>
      </c>
      <c r="AJ909" s="47" t="str">
        <f>IF($A909="", "", $AI909 * Premissas!$B$12)</f>
        <v/>
      </c>
      <c r="AK909" s="47" t="str">
        <f t="shared" si="13"/>
        <v/>
      </c>
      <c r="AL909" s="47"/>
      <c r="AM909" s="47"/>
    </row>
    <row r="910" ht="15.75" customHeight="1">
      <c r="K910" s="47" t="str">
        <f>IF($A910="", "", IFERROR($E910 * ($I910/$B910) * Premissas!$B$6, 0))</f>
        <v/>
      </c>
      <c r="L910" s="47" t="str">
        <f>IF($A910="", "", IFERROR(($E910 * Premissas!$B$4 * ($I910/$B910) + $E909 * Premissas!$B$5 * ($I909/$B909)) * Premissas!$B$7, 0))</f>
        <v/>
      </c>
      <c r="AI910" s="47" t="str">
        <f>IF($A910="", "", IFERROR(($I910 * Premissas!$B$5) + ($E910 * ($I910/$B910) * Premissas!$B$4 * 12), 0))</f>
        <v/>
      </c>
      <c r="AJ910" s="47" t="str">
        <f>IF($A910="", "", $AI910 * Premissas!$B$12)</f>
        <v/>
      </c>
      <c r="AK910" s="47" t="str">
        <f t="shared" si="13"/>
        <v/>
      </c>
      <c r="AL910" s="47"/>
      <c r="AM910" s="47"/>
    </row>
    <row r="911" ht="15.75" customHeight="1">
      <c r="K911" s="47" t="str">
        <f>IF($A911="", "", IFERROR($E911 * ($I911/$B911) * Premissas!$B$6, 0))</f>
        <v/>
      </c>
      <c r="L911" s="47" t="str">
        <f>IF($A911="", "", IFERROR(($E911 * Premissas!$B$4 * ($I911/$B911) + $E910 * Premissas!$B$5 * ($I910/$B910)) * Premissas!$B$7, 0))</f>
        <v/>
      </c>
      <c r="AI911" s="47" t="str">
        <f>IF($A911="", "", IFERROR(($I911 * Premissas!$B$5) + ($E911 * ($I911/$B911) * Premissas!$B$4 * 12), 0))</f>
        <v/>
      </c>
      <c r="AJ911" s="47" t="str">
        <f>IF($A911="", "", $AI911 * Premissas!$B$12)</f>
        <v/>
      </c>
      <c r="AK911" s="47" t="str">
        <f t="shared" si="13"/>
        <v/>
      </c>
      <c r="AL911" s="47"/>
      <c r="AM911" s="47"/>
    </row>
    <row r="912" ht="15.75" customHeight="1">
      <c r="K912" s="47" t="str">
        <f>IF($A912="", "", IFERROR($E912 * ($I912/$B912) * Premissas!$B$6, 0))</f>
        <v/>
      </c>
      <c r="L912" s="47" t="str">
        <f>IF($A912="", "", IFERROR(($E912 * Premissas!$B$4 * ($I912/$B912) + $E911 * Premissas!$B$5 * ($I911/$B911)) * Premissas!$B$7, 0))</f>
        <v/>
      </c>
      <c r="AI912" s="47" t="str">
        <f>IF($A912="", "", IFERROR(($I912 * Premissas!$B$5) + ($E912 * ($I912/$B912) * Premissas!$B$4 * 12), 0))</f>
        <v/>
      </c>
      <c r="AJ912" s="47" t="str">
        <f>IF($A912="", "", $AI912 * Premissas!$B$12)</f>
        <v/>
      </c>
      <c r="AK912" s="47" t="str">
        <f t="shared" si="13"/>
        <v/>
      </c>
      <c r="AL912" s="47"/>
      <c r="AM912" s="47"/>
    </row>
    <row r="913" ht="15.75" customHeight="1">
      <c r="K913" s="47" t="str">
        <f>IF($A913="", "", IFERROR($E913 * ($I913/$B913) * Premissas!$B$6, 0))</f>
        <v/>
      </c>
      <c r="L913" s="47" t="str">
        <f>IF($A913="", "", IFERROR(($E913 * Premissas!$B$4 * ($I913/$B913) + $E912 * Premissas!$B$5 * ($I912/$B912)) * Premissas!$B$7, 0))</f>
        <v/>
      </c>
      <c r="AI913" s="47" t="str">
        <f>IF($A913="", "", IFERROR(($I913 * Premissas!$B$5) + ($E913 * ($I913/$B913) * Premissas!$B$4 * 12), 0))</f>
        <v/>
      </c>
      <c r="AJ913" s="47" t="str">
        <f>IF($A913="", "", $AI913 * Premissas!$B$12)</f>
        <v/>
      </c>
      <c r="AK913" s="47" t="str">
        <f t="shared" si="13"/>
        <v/>
      </c>
      <c r="AL913" s="47"/>
      <c r="AM913" s="47"/>
    </row>
    <row r="914" ht="15.75" customHeight="1">
      <c r="K914" s="47" t="str">
        <f>IF($A914="", "", IFERROR($E914 * ($I914/$B914) * Premissas!$B$6, 0))</f>
        <v/>
      </c>
      <c r="L914" s="47" t="str">
        <f>IF($A914="", "", IFERROR(($E914 * Premissas!$B$4 * ($I914/$B914) + $E913 * Premissas!$B$5 * ($I913/$B913)) * Premissas!$B$7, 0))</f>
        <v/>
      </c>
      <c r="AI914" s="47" t="str">
        <f>IF($A914="", "", IFERROR(($I914 * Premissas!$B$5) + ($E914 * ($I914/$B914) * Premissas!$B$4 * 12), 0))</f>
        <v/>
      </c>
      <c r="AJ914" s="47" t="str">
        <f>IF($A914="", "", $AI914 * Premissas!$B$12)</f>
        <v/>
      </c>
      <c r="AK914" s="47" t="str">
        <f t="shared" si="13"/>
        <v/>
      </c>
      <c r="AL914" s="47"/>
      <c r="AM914" s="47"/>
    </row>
    <row r="915" ht="15.75" customHeight="1">
      <c r="K915" s="47" t="str">
        <f>IF($A915="", "", IFERROR($E915 * ($I915/$B915) * Premissas!$B$6, 0))</f>
        <v/>
      </c>
      <c r="L915" s="47" t="str">
        <f>IF($A915="", "", IFERROR(($E915 * Premissas!$B$4 * ($I915/$B915) + $E914 * Premissas!$B$5 * ($I914/$B914)) * Premissas!$B$7, 0))</f>
        <v/>
      </c>
      <c r="AI915" s="47" t="str">
        <f>IF($A915="", "", IFERROR(($I915 * Premissas!$B$5) + ($E915 * ($I915/$B915) * Premissas!$B$4 * 12), 0))</f>
        <v/>
      </c>
      <c r="AJ915" s="47" t="str">
        <f>IF($A915="", "", $AI915 * Premissas!$B$12)</f>
        <v/>
      </c>
      <c r="AK915" s="47" t="str">
        <f t="shared" si="13"/>
        <v/>
      </c>
      <c r="AL915" s="47"/>
      <c r="AM915" s="47"/>
    </row>
    <row r="916" ht="15.75" customHeight="1">
      <c r="K916" s="47" t="str">
        <f>IF($A916="", "", IFERROR($E916 * ($I916/$B916) * Premissas!$B$6, 0))</f>
        <v/>
      </c>
      <c r="L916" s="47" t="str">
        <f>IF($A916="", "", IFERROR(($E916 * Premissas!$B$4 * ($I916/$B916) + $E915 * Premissas!$B$5 * ($I915/$B915)) * Premissas!$B$7, 0))</f>
        <v/>
      </c>
      <c r="AI916" s="47" t="str">
        <f>IF($A916="", "", IFERROR(($I916 * Premissas!$B$5) + ($E916 * ($I916/$B916) * Premissas!$B$4 * 12), 0))</f>
        <v/>
      </c>
      <c r="AJ916" s="47" t="str">
        <f>IF($A916="", "", $AI916 * Premissas!$B$12)</f>
        <v/>
      </c>
      <c r="AK916" s="47" t="str">
        <f t="shared" si="13"/>
        <v/>
      </c>
      <c r="AL916" s="47"/>
      <c r="AM916" s="47"/>
    </row>
    <row r="917" ht="15.75" customHeight="1">
      <c r="K917" s="47" t="str">
        <f>IF($A917="", "", IFERROR($E917 * ($I917/$B917) * Premissas!$B$6, 0))</f>
        <v/>
      </c>
      <c r="L917" s="47" t="str">
        <f>IF($A917="", "", IFERROR(($E917 * Premissas!$B$4 * ($I917/$B917) + $E916 * Premissas!$B$5 * ($I916/$B916)) * Premissas!$B$7, 0))</f>
        <v/>
      </c>
      <c r="AI917" s="47" t="str">
        <f>IF($A917="", "", IFERROR(($I917 * Premissas!$B$5) + ($E917 * ($I917/$B917) * Premissas!$B$4 * 12), 0))</f>
        <v/>
      </c>
      <c r="AJ917" s="47" t="str">
        <f>IF($A917="", "", $AI917 * Premissas!$B$12)</f>
        <v/>
      </c>
      <c r="AK917" s="47" t="str">
        <f t="shared" si="13"/>
        <v/>
      </c>
      <c r="AL917" s="47"/>
      <c r="AM917" s="47"/>
    </row>
    <row r="918" ht="15.75" customHeight="1">
      <c r="K918" s="47" t="str">
        <f>IF($A918="", "", IFERROR($E918 * ($I918/$B918) * Premissas!$B$6, 0))</f>
        <v/>
      </c>
      <c r="L918" s="47" t="str">
        <f>IF($A918="", "", IFERROR(($E918 * Premissas!$B$4 * ($I918/$B918) + $E917 * Premissas!$B$5 * ($I917/$B917)) * Premissas!$B$7, 0))</f>
        <v/>
      </c>
      <c r="AI918" s="47" t="str">
        <f>IF($A918="", "", IFERROR(($I918 * Premissas!$B$5) + ($E918 * ($I918/$B918) * Premissas!$B$4 * 12), 0))</f>
        <v/>
      </c>
      <c r="AJ918" s="47" t="str">
        <f>IF($A918="", "", $AI918 * Premissas!$B$12)</f>
        <v/>
      </c>
      <c r="AK918" s="47" t="str">
        <f t="shared" si="13"/>
        <v/>
      </c>
      <c r="AL918" s="47"/>
      <c r="AM918" s="47"/>
    </row>
    <row r="919" ht="15.75" customHeight="1">
      <c r="K919" s="47" t="str">
        <f>IF($A919="", "", IFERROR($E919 * ($I919/$B919) * Premissas!$B$6, 0))</f>
        <v/>
      </c>
      <c r="L919" s="47" t="str">
        <f>IF($A919="", "", IFERROR(($E919 * Premissas!$B$4 * ($I919/$B919) + $E918 * Premissas!$B$5 * ($I918/$B918)) * Premissas!$B$7, 0))</f>
        <v/>
      </c>
      <c r="AI919" s="47" t="str">
        <f>IF($A919="", "", IFERROR(($I919 * Premissas!$B$5) + ($E919 * ($I919/$B919) * Premissas!$B$4 * 12), 0))</f>
        <v/>
      </c>
      <c r="AJ919" s="47" t="str">
        <f>IF($A919="", "", $AI919 * Premissas!$B$12)</f>
        <v/>
      </c>
      <c r="AK919" s="47" t="str">
        <f t="shared" si="13"/>
        <v/>
      </c>
      <c r="AL919" s="47"/>
      <c r="AM919" s="47"/>
    </row>
    <row r="920" ht="15.75" customHeight="1">
      <c r="K920" s="47" t="str">
        <f>IF($A920="", "", IFERROR($E920 * ($I920/$B920) * Premissas!$B$6, 0))</f>
        <v/>
      </c>
      <c r="L920" s="47" t="str">
        <f>IF($A920="", "", IFERROR(($E920 * Premissas!$B$4 * ($I920/$B920) + $E919 * Premissas!$B$5 * ($I919/$B919)) * Premissas!$B$7, 0))</f>
        <v/>
      </c>
      <c r="AI920" s="47" t="str">
        <f>IF($A920="", "", IFERROR(($I920 * Premissas!$B$5) + ($E920 * ($I920/$B920) * Premissas!$B$4 * 12), 0))</f>
        <v/>
      </c>
      <c r="AJ920" s="47" t="str">
        <f>IF($A920="", "", $AI920 * Premissas!$B$12)</f>
        <v/>
      </c>
      <c r="AK920" s="47" t="str">
        <f t="shared" si="13"/>
        <v/>
      </c>
      <c r="AL920" s="47"/>
      <c r="AM920" s="47"/>
    </row>
    <row r="921" ht="15.75" customHeight="1">
      <c r="K921" s="47" t="str">
        <f>IF($A921="", "", IFERROR($E921 * ($I921/$B921) * Premissas!$B$6, 0))</f>
        <v/>
      </c>
      <c r="L921" s="47" t="str">
        <f>IF($A921="", "", IFERROR(($E921 * Premissas!$B$4 * ($I921/$B921) + $E920 * Premissas!$B$5 * ($I920/$B920)) * Premissas!$B$7, 0))</f>
        <v/>
      </c>
      <c r="AI921" s="47" t="str">
        <f>IF($A921="", "", IFERROR(($I921 * Premissas!$B$5) + ($E921 * ($I921/$B921) * Premissas!$B$4 * 12), 0))</f>
        <v/>
      </c>
      <c r="AJ921" s="47" t="str">
        <f>IF($A921="", "", $AI921 * Premissas!$B$12)</f>
        <v/>
      </c>
      <c r="AK921" s="47" t="str">
        <f t="shared" si="13"/>
        <v/>
      </c>
      <c r="AL921" s="47"/>
      <c r="AM921" s="47"/>
    </row>
    <row r="922" ht="15.75" customHeight="1">
      <c r="K922" s="47" t="str">
        <f>IF($A922="", "", IFERROR($E922 * ($I922/$B922) * Premissas!$B$6, 0))</f>
        <v/>
      </c>
      <c r="L922" s="47" t="str">
        <f>IF($A922="", "", IFERROR(($E922 * Premissas!$B$4 * ($I922/$B922) + $E921 * Premissas!$B$5 * ($I921/$B921)) * Premissas!$B$7, 0))</f>
        <v/>
      </c>
      <c r="AI922" s="47" t="str">
        <f>IF($A922="", "", IFERROR(($I922 * Premissas!$B$5) + ($E922 * ($I922/$B922) * Premissas!$B$4 * 12), 0))</f>
        <v/>
      </c>
      <c r="AJ922" s="47" t="str">
        <f>IF($A922="", "", $AI922 * Premissas!$B$12)</f>
        <v/>
      </c>
      <c r="AK922" s="47" t="str">
        <f t="shared" si="13"/>
        <v/>
      </c>
      <c r="AL922" s="47"/>
      <c r="AM922" s="47"/>
    </row>
    <row r="923" ht="15.75" customHeight="1">
      <c r="K923" s="47" t="str">
        <f>IF($A923="", "", IFERROR($E923 * ($I923/$B923) * Premissas!$B$6, 0))</f>
        <v/>
      </c>
      <c r="L923" s="47" t="str">
        <f>IF($A923="", "", IFERROR(($E923 * Premissas!$B$4 * ($I923/$B923) + $E922 * Premissas!$B$5 * ($I922/$B922)) * Premissas!$B$7, 0))</f>
        <v/>
      </c>
      <c r="AI923" s="47" t="str">
        <f>IF($A923="", "", IFERROR(($I923 * Premissas!$B$5) + ($E923 * ($I923/$B923) * Premissas!$B$4 * 12), 0))</f>
        <v/>
      </c>
      <c r="AJ923" s="47" t="str">
        <f>IF($A923="", "", $AI923 * Premissas!$B$12)</f>
        <v/>
      </c>
      <c r="AK923" s="47" t="str">
        <f t="shared" si="13"/>
        <v/>
      </c>
      <c r="AL923" s="47"/>
      <c r="AM923" s="47"/>
    </row>
    <row r="924" ht="15.75" customHeight="1">
      <c r="K924" s="47" t="str">
        <f>IF($A924="", "", IFERROR($E924 * ($I924/$B924) * Premissas!$B$6, 0))</f>
        <v/>
      </c>
      <c r="L924" s="47" t="str">
        <f>IF($A924="", "", IFERROR(($E924 * Premissas!$B$4 * ($I924/$B924) + $E923 * Premissas!$B$5 * ($I923/$B923)) * Premissas!$B$7, 0))</f>
        <v/>
      </c>
      <c r="AI924" s="47" t="str">
        <f>IF($A924="", "", IFERROR(($I924 * Premissas!$B$5) + ($E924 * ($I924/$B924) * Premissas!$B$4 * 12), 0))</f>
        <v/>
      </c>
      <c r="AJ924" s="47" t="str">
        <f>IF($A924="", "", $AI924 * Premissas!$B$12)</f>
        <v/>
      </c>
      <c r="AK924" s="47" t="str">
        <f t="shared" si="13"/>
        <v/>
      </c>
      <c r="AL924" s="47"/>
      <c r="AM924" s="47"/>
    </row>
    <row r="925" ht="15.75" customHeight="1">
      <c r="K925" s="47" t="str">
        <f>IF($A925="", "", IFERROR($E925 * ($I925/$B925) * Premissas!$B$6, 0))</f>
        <v/>
      </c>
      <c r="L925" s="47" t="str">
        <f>IF($A925="", "", IFERROR(($E925 * Premissas!$B$4 * ($I925/$B925) + $E924 * Premissas!$B$5 * ($I924/$B924)) * Premissas!$B$7, 0))</f>
        <v/>
      </c>
      <c r="AI925" s="47" t="str">
        <f>IF($A925="", "", IFERROR(($I925 * Premissas!$B$5) + ($E925 * ($I925/$B925) * Premissas!$B$4 * 12), 0))</f>
        <v/>
      </c>
      <c r="AJ925" s="47" t="str">
        <f>IF($A925="", "", $AI925 * Premissas!$B$12)</f>
        <v/>
      </c>
      <c r="AK925" s="47" t="str">
        <f t="shared" si="13"/>
        <v/>
      </c>
      <c r="AL925" s="47"/>
      <c r="AM925" s="47"/>
    </row>
    <row r="926" ht="15.75" customHeight="1">
      <c r="K926" s="47" t="str">
        <f>IF($A926="", "", IFERROR($E926 * ($I926/$B926) * Premissas!$B$6, 0))</f>
        <v/>
      </c>
      <c r="L926" s="47" t="str">
        <f>IF($A926="", "", IFERROR(($E926 * Premissas!$B$4 * ($I926/$B926) + $E925 * Premissas!$B$5 * ($I925/$B925)) * Premissas!$B$7, 0))</f>
        <v/>
      </c>
      <c r="AI926" s="47" t="str">
        <f>IF($A926="", "", IFERROR(($I926 * Premissas!$B$5) + ($E926 * ($I926/$B926) * Premissas!$B$4 * 12), 0))</f>
        <v/>
      </c>
      <c r="AJ926" s="47" t="str">
        <f>IF($A926="", "", $AI926 * Premissas!$B$12)</f>
        <v/>
      </c>
      <c r="AK926" s="47" t="str">
        <f t="shared" si="13"/>
        <v/>
      </c>
      <c r="AL926" s="47"/>
      <c r="AM926" s="47"/>
    </row>
    <row r="927" ht="15.75" customHeight="1">
      <c r="K927" s="47" t="str">
        <f>IF($A927="", "", IFERROR($E927 * ($I927/$B927) * Premissas!$B$6, 0))</f>
        <v/>
      </c>
      <c r="L927" s="47" t="str">
        <f>IF($A927="", "", IFERROR(($E927 * Premissas!$B$4 * ($I927/$B927) + $E926 * Premissas!$B$5 * ($I926/$B926)) * Premissas!$B$7, 0))</f>
        <v/>
      </c>
      <c r="AI927" s="47" t="str">
        <f>IF($A927="", "", IFERROR(($I927 * Premissas!$B$5) + ($E927 * ($I927/$B927) * Premissas!$B$4 * 12), 0))</f>
        <v/>
      </c>
      <c r="AJ927" s="47" t="str">
        <f>IF($A927="", "", $AI927 * Premissas!$B$12)</f>
        <v/>
      </c>
      <c r="AK927" s="47" t="str">
        <f t="shared" si="13"/>
        <v/>
      </c>
      <c r="AL927" s="47"/>
      <c r="AM927" s="47"/>
    </row>
    <row r="928" ht="15.75" customHeight="1">
      <c r="K928" s="47" t="str">
        <f>IF($A928="", "", IFERROR($E928 * ($I928/$B928) * Premissas!$B$6, 0))</f>
        <v/>
      </c>
      <c r="L928" s="47" t="str">
        <f>IF($A928="", "", IFERROR(($E928 * Premissas!$B$4 * ($I928/$B928) + $E927 * Premissas!$B$5 * ($I927/$B927)) * Premissas!$B$7, 0))</f>
        <v/>
      </c>
      <c r="AI928" s="47" t="str">
        <f>IF($A928="", "", IFERROR(($I928 * Premissas!$B$5) + ($E928 * ($I928/$B928) * Premissas!$B$4 * 12), 0))</f>
        <v/>
      </c>
      <c r="AJ928" s="47" t="str">
        <f>IF($A928="", "", $AI928 * Premissas!$B$12)</f>
        <v/>
      </c>
      <c r="AK928" s="47" t="str">
        <f t="shared" si="13"/>
        <v/>
      </c>
      <c r="AL928" s="47"/>
      <c r="AM928" s="47"/>
    </row>
    <row r="929" ht="15.75" customHeight="1">
      <c r="K929" s="47" t="str">
        <f>IF($A929="", "", IFERROR($E929 * ($I929/$B929) * Premissas!$B$6, 0))</f>
        <v/>
      </c>
      <c r="L929" s="47" t="str">
        <f>IF($A929="", "", IFERROR(($E929 * Premissas!$B$4 * ($I929/$B929) + $E928 * Premissas!$B$5 * ($I928/$B928)) * Premissas!$B$7, 0))</f>
        <v/>
      </c>
      <c r="AI929" s="47" t="str">
        <f>IF($A929="", "", IFERROR(($I929 * Premissas!$B$5) + ($E929 * ($I929/$B929) * Premissas!$B$4 * 12), 0))</f>
        <v/>
      </c>
      <c r="AJ929" s="47" t="str">
        <f>IF($A929="", "", $AI929 * Premissas!$B$12)</f>
        <v/>
      </c>
      <c r="AK929" s="47" t="str">
        <f t="shared" si="13"/>
        <v/>
      </c>
      <c r="AL929" s="47"/>
      <c r="AM929" s="47"/>
    </row>
    <row r="930" ht="15.75" customHeight="1">
      <c r="K930" s="47" t="str">
        <f>IF($A930="", "", IFERROR($E930 * ($I930/$B930) * Premissas!$B$6, 0))</f>
        <v/>
      </c>
      <c r="L930" s="47" t="str">
        <f>IF($A930="", "", IFERROR(($E930 * Premissas!$B$4 * ($I930/$B930) + $E929 * Premissas!$B$5 * ($I929/$B929)) * Premissas!$B$7, 0))</f>
        <v/>
      </c>
      <c r="AI930" s="47" t="str">
        <f>IF($A930="", "", IFERROR(($I930 * Premissas!$B$5) + ($E930 * ($I930/$B930) * Premissas!$B$4 * 12), 0))</f>
        <v/>
      </c>
      <c r="AJ930" s="47" t="str">
        <f>IF($A930="", "", $AI930 * Premissas!$B$12)</f>
        <v/>
      </c>
      <c r="AK930" s="47" t="str">
        <f t="shared" si="13"/>
        <v/>
      </c>
      <c r="AL930" s="47"/>
      <c r="AM930" s="47"/>
    </row>
    <row r="931" ht="15.75" customHeight="1">
      <c r="K931" s="47" t="str">
        <f>IF($A931="", "", IFERROR($E931 * ($I931/$B931) * Premissas!$B$6, 0))</f>
        <v/>
      </c>
      <c r="L931" s="47" t="str">
        <f>IF($A931="", "", IFERROR(($E931 * Premissas!$B$4 * ($I931/$B931) + $E930 * Premissas!$B$5 * ($I930/$B930)) * Premissas!$B$7, 0))</f>
        <v/>
      </c>
      <c r="AI931" s="47" t="str">
        <f>IF($A931="", "", IFERROR(($I931 * Premissas!$B$5) + ($E931 * ($I931/$B931) * Premissas!$B$4 * 12), 0))</f>
        <v/>
      </c>
      <c r="AJ931" s="47" t="str">
        <f>IF($A931="", "", $AI931 * Premissas!$B$12)</f>
        <v/>
      </c>
      <c r="AK931" s="47" t="str">
        <f t="shared" si="13"/>
        <v/>
      </c>
      <c r="AL931" s="47"/>
      <c r="AM931" s="47"/>
    </row>
    <row r="932" ht="15.75" customHeight="1">
      <c r="K932" s="47" t="str">
        <f>IF($A932="", "", IFERROR($E932 * ($I932/$B932) * Premissas!$B$6, 0))</f>
        <v/>
      </c>
      <c r="L932" s="47" t="str">
        <f>IF($A932="", "", IFERROR(($E932 * Premissas!$B$4 * ($I932/$B932) + $E931 * Premissas!$B$5 * ($I931/$B931)) * Premissas!$B$7, 0))</f>
        <v/>
      </c>
      <c r="AI932" s="47" t="str">
        <f>IF($A932="", "", IFERROR(($I932 * Premissas!$B$5) + ($E932 * ($I932/$B932) * Premissas!$B$4 * 12), 0))</f>
        <v/>
      </c>
      <c r="AJ932" s="47" t="str">
        <f>IF($A932="", "", $AI932 * Premissas!$B$12)</f>
        <v/>
      </c>
      <c r="AK932" s="47" t="str">
        <f t="shared" si="13"/>
        <v/>
      </c>
      <c r="AL932" s="47"/>
      <c r="AM932" s="47"/>
    </row>
    <row r="933" ht="15.75" customHeight="1">
      <c r="K933" s="47" t="str">
        <f>IF($A933="", "", IFERROR($E933 * ($I933/$B933) * Premissas!$B$6, 0))</f>
        <v/>
      </c>
      <c r="L933" s="47" t="str">
        <f>IF($A933="", "", IFERROR(($E933 * Premissas!$B$4 * ($I933/$B933) + $E932 * Premissas!$B$5 * ($I932/$B932)) * Premissas!$B$7, 0))</f>
        <v/>
      </c>
      <c r="AI933" s="47" t="str">
        <f>IF($A933="", "", IFERROR(($I933 * Premissas!$B$5) + ($E933 * ($I933/$B933) * Premissas!$B$4 * 12), 0))</f>
        <v/>
      </c>
      <c r="AJ933" s="47" t="str">
        <f>IF($A933="", "", $AI933 * Premissas!$B$12)</f>
        <v/>
      </c>
      <c r="AK933" s="47" t="str">
        <f t="shared" si="13"/>
        <v/>
      </c>
      <c r="AL933" s="47"/>
      <c r="AM933" s="47"/>
    </row>
    <row r="934" ht="15.75" customHeight="1">
      <c r="K934" s="47" t="str">
        <f>IF($A934="", "", IFERROR($E934 * ($I934/$B934) * Premissas!$B$6, 0))</f>
        <v/>
      </c>
      <c r="L934" s="47" t="str">
        <f>IF($A934="", "", IFERROR(($E934 * Premissas!$B$4 * ($I934/$B934) + $E933 * Premissas!$B$5 * ($I933/$B933)) * Premissas!$B$7, 0))</f>
        <v/>
      </c>
      <c r="AI934" s="47" t="str">
        <f>IF($A934="", "", IFERROR(($I934 * Premissas!$B$5) + ($E934 * ($I934/$B934) * Premissas!$B$4 * 12), 0))</f>
        <v/>
      </c>
      <c r="AJ934" s="47" t="str">
        <f>IF($A934="", "", $AI934 * Premissas!$B$12)</f>
        <v/>
      </c>
      <c r="AK934" s="47" t="str">
        <f t="shared" si="13"/>
        <v/>
      </c>
      <c r="AL934" s="47"/>
      <c r="AM934" s="47"/>
    </row>
    <row r="935" ht="15.75" customHeight="1">
      <c r="K935" s="47" t="str">
        <f>IF($A935="", "", IFERROR($E935 * ($I935/$B935) * Premissas!$B$6, 0))</f>
        <v/>
      </c>
      <c r="L935" s="47" t="str">
        <f>IF($A935="", "", IFERROR(($E935 * Premissas!$B$4 * ($I935/$B935) + $E934 * Premissas!$B$5 * ($I934/$B934)) * Premissas!$B$7, 0))</f>
        <v/>
      </c>
      <c r="AI935" s="47" t="str">
        <f>IF($A935="", "", IFERROR(($I935 * Premissas!$B$5) + ($E935 * ($I935/$B935) * Premissas!$B$4 * 12), 0))</f>
        <v/>
      </c>
      <c r="AJ935" s="47" t="str">
        <f>IF($A935="", "", $AI935 * Premissas!$B$12)</f>
        <v/>
      </c>
      <c r="AK935" s="47" t="str">
        <f t="shared" si="13"/>
        <v/>
      </c>
      <c r="AL935" s="47"/>
      <c r="AM935" s="47"/>
    </row>
    <row r="936" ht="15.75" customHeight="1">
      <c r="K936" s="47" t="str">
        <f>IF($A936="", "", IFERROR($E936 * ($I936/$B936) * Premissas!$B$6, 0))</f>
        <v/>
      </c>
      <c r="L936" s="47" t="str">
        <f>IF($A936="", "", IFERROR(($E936 * Premissas!$B$4 * ($I936/$B936) + $E935 * Premissas!$B$5 * ($I935/$B935)) * Premissas!$B$7, 0))</f>
        <v/>
      </c>
      <c r="AI936" s="47" t="str">
        <f>IF($A936="", "", IFERROR(($I936 * Premissas!$B$5) + ($E936 * ($I936/$B936) * Premissas!$B$4 * 12), 0))</f>
        <v/>
      </c>
      <c r="AJ936" s="47" t="str">
        <f>IF($A936="", "", $AI936 * Premissas!$B$12)</f>
        <v/>
      </c>
      <c r="AK936" s="47" t="str">
        <f t="shared" si="13"/>
        <v/>
      </c>
      <c r="AL936" s="47"/>
      <c r="AM936" s="47"/>
    </row>
    <row r="937" ht="15.75" customHeight="1">
      <c r="K937" s="47" t="str">
        <f>IF($A937="", "", IFERROR($E937 * ($I937/$B937) * Premissas!$B$6, 0))</f>
        <v/>
      </c>
      <c r="L937" s="47" t="str">
        <f>IF($A937="", "", IFERROR(($E937 * Premissas!$B$4 * ($I937/$B937) + $E936 * Premissas!$B$5 * ($I936/$B936)) * Premissas!$B$7, 0))</f>
        <v/>
      </c>
      <c r="AI937" s="47" t="str">
        <f>IF($A937="", "", IFERROR(($I937 * Premissas!$B$5) + ($E937 * ($I937/$B937) * Premissas!$B$4 * 12), 0))</f>
        <v/>
      </c>
      <c r="AJ937" s="47" t="str">
        <f>IF($A937="", "", $AI937 * Premissas!$B$12)</f>
        <v/>
      </c>
      <c r="AK937" s="47" t="str">
        <f t="shared" si="13"/>
        <v/>
      </c>
      <c r="AL937" s="47"/>
      <c r="AM937" s="47"/>
    </row>
    <row r="938" ht="15.75" customHeight="1">
      <c r="K938" s="47" t="str">
        <f>IF($A938="", "", IFERROR($E938 * ($I938/$B938) * Premissas!$B$6, 0))</f>
        <v/>
      </c>
      <c r="L938" s="47" t="str">
        <f>IF($A938="", "", IFERROR(($E938 * Premissas!$B$4 * ($I938/$B938) + $E937 * Premissas!$B$5 * ($I937/$B937)) * Premissas!$B$7, 0))</f>
        <v/>
      </c>
      <c r="AI938" s="47" t="str">
        <f>IF($A938="", "", IFERROR(($I938 * Premissas!$B$5) + ($E938 * ($I938/$B938) * Premissas!$B$4 * 12), 0))</f>
        <v/>
      </c>
      <c r="AJ938" s="47" t="str">
        <f>IF($A938="", "", $AI938 * Premissas!$B$12)</f>
        <v/>
      </c>
      <c r="AK938" s="47" t="str">
        <f t="shared" si="13"/>
        <v/>
      </c>
      <c r="AL938" s="47"/>
      <c r="AM938" s="47"/>
    </row>
    <row r="939" ht="15.75" customHeight="1">
      <c r="K939" s="47" t="str">
        <f>IF($A939="", "", IFERROR($E939 * ($I939/$B939) * Premissas!$B$6, 0))</f>
        <v/>
      </c>
      <c r="L939" s="47" t="str">
        <f>IF($A939="", "", IFERROR(($E939 * Premissas!$B$4 * ($I939/$B939) + $E938 * Premissas!$B$5 * ($I938/$B938)) * Premissas!$B$7, 0))</f>
        <v/>
      </c>
      <c r="AI939" s="47" t="str">
        <f>IF($A939="", "", IFERROR(($I939 * Premissas!$B$5) + ($E939 * ($I939/$B939) * Premissas!$B$4 * 12), 0))</f>
        <v/>
      </c>
      <c r="AJ939" s="47" t="str">
        <f>IF($A939="", "", $AI939 * Premissas!$B$12)</f>
        <v/>
      </c>
      <c r="AK939" s="47" t="str">
        <f t="shared" si="13"/>
        <v/>
      </c>
      <c r="AL939" s="47"/>
      <c r="AM939" s="47"/>
    </row>
    <row r="940" ht="15.75" customHeight="1">
      <c r="K940" s="47" t="str">
        <f>IF($A940="", "", IFERROR($E940 * ($I940/$B940) * Premissas!$B$6, 0))</f>
        <v/>
      </c>
      <c r="L940" s="47" t="str">
        <f>IF($A940="", "", IFERROR(($E940 * Premissas!$B$4 * ($I940/$B940) + $E939 * Premissas!$B$5 * ($I939/$B939)) * Premissas!$B$7, 0))</f>
        <v/>
      </c>
      <c r="AI940" s="47" t="str">
        <f>IF($A940="", "", IFERROR(($I940 * Premissas!$B$5) + ($E940 * ($I940/$B940) * Premissas!$B$4 * 12), 0))</f>
        <v/>
      </c>
      <c r="AJ940" s="47" t="str">
        <f>IF($A940="", "", $AI940 * Premissas!$B$12)</f>
        <v/>
      </c>
      <c r="AK940" s="47" t="str">
        <f t="shared" si="13"/>
        <v/>
      </c>
      <c r="AL940" s="47"/>
      <c r="AM940" s="47"/>
    </row>
    <row r="941" ht="15.75" customHeight="1">
      <c r="K941" s="47" t="str">
        <f>IF($A941="", "", IFERROR($E941 * ($I941/$B941) * Premissas!$B$6, 0))</f>
        <v/>
      </c>
      <c r="L941" s="47" t="str">
        <f>IF($A941="", "", IFERROR(($E941 * Premissas!$B$4 * ($I941/$B941) + $E940 * Premissas!$B$5 * ($I940/$B940)) * Premissas!$B$7, 0))</f>
        <v/>
      </c>
      <c r="AI941" s="47" t="str">
        <f>IF($A941="", "", IFERROR(($I941 * Premissas!$B$5) + ($E941 * ($I941/$B941) * Premissas!$B$4 * 12), 0))</f>
        <v/>
      </c>
      <c r="AJ941" s="47" t="str">
        <f>IF($A941="", "", $AI941 * Premissas!$B$12)</f>
        <v/>
      </c>
      <c r="AK941" s="47" t="str">
        <f t="shared" si="13"/>
        <v/>
      </c>
      <c r="AL941" s="47"/>
      <c r="AM941" s="47"/>
    </row>
    <row r="942" ht="15.75" customHeight="1">
      <c r="K942" s="47" t="str">
        <f>IF($A942="", "", IFERROR($E942 * ($I942/$B942) * Premissas!$B$6, 0))</f>
        <v/>
      </c>
      <c r="L942" s="47" t="str">
        <f>IF($A942="", "", IFERROR(($E942 * Premissas!$B$4 * ($I942/$B942) + $E941 * Premissas!$B$5 * ($I941/$B941)) * Premissas!$B$7, 0))</f>
        <v/>
      </c>
      <c r="AI942" s="47" t="str">
        <f>IF($A942="", "", IFERROR(($I942 * Premissas!$B$5) + ($E942 * ($I942/$B942) * Premissas!$B$4 * 12), 0))</f>
        <v/>
      </c>
      <c r="AJ942" s="47" t="str">
        <f>IF($A942="", "", $AI942 * Premissas!$B$12)</f>
        <v/>
      </c>
      <c r="AK942" s="47" t="str">
        <f t="shared" si="13"/>
        <v/>
      </c>
      <c r="AL942" s="47"/>
      <c r="AM942" s="47"/>
    </row>
    <row r="943" ht="15.75" customHeight="1">
      <c r="K943" s="47" t="str">
        <f>IF($A943="", "", IFERROR($E943 * ($I943/$B943) * Premissas!$B$6, 0))</f>
        <v/>
      </c>
      <c r="L943" s="47" t="str">
        <f>IF($A943="", "", IFERROR(($E943 * Premissas!$B$4 * ($I943/$B943) + $E942 * Premissas!$B$5 * ($I942/$B942)) * Premissas!$B$7, 0))</f>
        <v/>
      </c>
      <c r="AI943" s="47" t="str">
        <f>IF($A943="", "", IFERROR(($I943 * Premissas!$B$5) + ($E943 * ($I943/$B943) * Premissas!$B$4 * 12), 0))</f>
        <v/>
      </c>
      <c r="AJ943" s="47" t="str">
        <f>IF($A943="", "", $AI943 * Premissas!$B$12)</f>
        <v/>
      </c>
      <c r="AK943" s="47" t="str">
        <f t="shared" si="13"/>
        <v/>
      </c>
      <c r="AL943" s="47"/>
      <c r="AM943" s="47"/>
    </row>
    <row r="944" ht="15.75" customHeight="1">
      <c r="K944" s="47" t="str">
        <f>IF($A944="", "", IFERROR($E944 * ($I944/$B944) * Premissas!$B$6, 0))</f>
        <v/>
      </c>
      <c r="L944" s="47" t="str">
        <f>IF($A944="", "", IFERROR(($E944 * Premissas!$B$4 * ($I944/$B944) + $E943 * Premissas!$B$5 * ($I943/$B943)) * Premissas!$B$7, 0))</f>
        <v/>
      </c>
      <c r="AI944" s="47" t="str">
        <f>IF($A944="", "", IFERROR(($I944 * Premissas!$B$5) + ($E944 * ($I944/$B944) * Premissas!$B$4 * 12), 0))</f>
        <v/>
      </c>
      <c r="AJ944" s="47" t="str">
        <f>IF($A944="", "", $AI944 * Premissas!$B$12)</f>
        <v/>
      </c>
      <c r="AK944" s="47" t="str">
        <f t="shared" si="13"/>
        <v/>
      </c>
      <c r="AL944" s="47"/>
      <c r="AM944" s="47"/>
    </row>
    <row r="945" ht="15.75" customHeight="1">
      <c r="K945" s="47" t="str">
        <f>IF($A945="", "", IFERROR($E945 * ($I945/$B945) * Premissas!$B$6, 0))</f>
        <v/>
      </c>
      <c r="L945" s="47" t="str">
        <f>IF($A945="", "", IFERROR(($E945 * Premissas!$B$4 * ($I945/$B945) + $E944 * Premissas!$B$5 * ($I944/$B944)) * Premissas!$B$7, 0))</f>
        <v/>
      </c>
      <c r="AI945" s="47" t="str">
        <f>IF($A945="", "", IFERROR(($I945 * Premissas!$B$5) + ($E945 * ($I945/$B945) * Premissas!$B$4 * 12), 0))</f>
        <v/>
      </c>
      <c r="AJ945" s="47" t="str">
        <f>IF($A945="", "", $AI945 * Premissas!$B$12)</f>
        <v/>
      </c>
      <c r="AK945" s="47" t="str">
        <f t="shared" si="13"/>
        <v/>
      </c>
      <c r="AL945" s="47"/>
      <c r="AM945" s="47"/>
    </row>
    <row r="946" ht="15.75" customHeight="1">
      <c r="K946" s="47" t="str">
        <f>IF($A946="", "", IFERROR($E946 * ($I946/$B946) * Premissas!$B$6, 0))</f>
        <v/>
      </c>
      <c r="L946" s="47" t="str">
        <f>IF($A946="", "", IFERROR(($E946 * Premissas!$B$4 * ($I946/$B946) + $E945 * Premissas!$B$5 * ($I945/$B945)) * Premissas!$B$7, 0))</f>
        <v/>
      </c>
      <c r="AI946" s="47" t="str">
        <f>IF($A946="", "", IFERROR(($I946 * Premissas!$B$5) + ($E946 * ($I946/$B946) * Premissas!$B$4 * 12), 0))</f>
        <v/>
      </c>
      <c r="AJ946" s="47" t="str">
        <f>IF($A946="", "", $AI946 * Premissas!$B$12)</f>
        <v/>
      </c>
      <c r="AK946" s="47" t="str">
        <f t="shared" si="13"/>
        <v/>
      </c>
      <c r="AL946" s="47"/>
      <c r="AM946" s="47"/>
    </row>
    <row r="947" ht="15.75" customHeight="1">
      <c r="K947" s="47" t="str">
        <f>IF($A947="", "", IFERROR($E947 * ($I947/$B947) * Premissas!$B$6, 0))</f>
        <v/>
      </c>
      <c r="L947" s="47" t="str">
        <f>IF($A947="", "", IFERROR(($E947 * Premissas!$B$4 * ($I947/$B947) + $E946 * Premissas!$B$5 * ($I946/$B946)) * Premissas!$B$7, 0))</f>
        <v/>
      </c>
      <c r="AI947" s="47" t="str">
        <f>IF($A947="", "", IFERROR(($I947 * Premissas!$B$5) + ($E947 * ($I947/$B947) * Premissas!$B$4 * 12), 0))</f>
        <v/>
      </c>
      <c r="AJ947" s="47" t="str">
        <f>IF($A947="", "", $AI947 * Premissas!$B$12)</f>
        <v/>
      </c>
      <c r="AK947" s="47" t="str">
        <f t="shared" si="13"/>
        <v/>
      </c>
      <c r="AL947" s="47"/>
      <c r="AM947" s="47"/>
    </row>
    <row r="948" ht="15.75" customHeight="1">
      <c r="K948" s="47" t="str">
        <f>IF($A948="", "", IFERROR($E948 * ($I948/$B948) * Premissas!$B$6, 0))</f>
        <v/>
      </c>
      <c r="L948" s="47" t="str">
        <f>IF($A948="", "", IFERROR(($E948 * Premissas!$B$4 * ($I948/$B948) + $E947 * Premissas!$B$5 * ($I947/$B947)) * Premissas!$B$7, 0))</f>
        <v/>
      </c>
      <c r="AI948" s="47" t="str">
        <f>IF($A948="", "", IFERROR(($I948 * Premissas!$B$5) + ($E948 * ($I948/$B948) * Premissas!$B$4 * 12), 0))</f>
        <v/>
      </c>
      <c r="AJ948" s="47" t="str">
        <f>IF($A948="", "", $AI948 * Premissas!$B$12)</f>
        <v/>
      </c>
      <c r="AK948" s="47" t="str">
        <f t="shared" si="13"/>
        <v/>
      </c>
      <c r="AL948" s="47"/>
      <c r="AM948" s="47"/>
    </row>
    <row r="949" ht="15.75" customHeight="1">
      <c r="K949" s="47" t="str">
        <f>IF($A949="", "", IFERROR($E949 * ($I949/$B949) * Premissas!$B$6, 0))</f>
        <v/>
      </c>
      <c r="L949" s="47" t="str">
        <f>IF($A949="", "", IFERROR(($E949 * Premissas!$B$4 * ($I949/$B949) + $E948 * Premissas!$B$5 * ($I948/$B948)) * Premissas!$B$7, 0))</f>
        <v/>
      </c>
      <c r="AI949" s="47" t="str">
        <f>IF($A949="", "", IFERROR(($I949 * Premissas!$B$5) + ($E949 * ($I949/$B949) * Premissas!$B$4 * 12), 0))</f>
        <v/>
      </c>
      <c r="AJ949" s="47" t="str">
        <f>IF($A949="", "", $AI949 * Premissas!$B$12)</f>
        <v/>
      </c>
      <c r="AK949" s="47" t="str">
        <f t="shared" si="13"/>
        <v/>
      </c>
      <c r="AL949" s="47"/>
      <c r="AM949" s="47"/>
    </row>
    <row r="950" ht="15.75" customHeight="1">
      <c r="K950" s="47" t="str">
        <f>IF($A950="", "", IFERROR($E950 * ($I950/$B950) * Premissas!$B$6, 0))</f>
        <v/>
      </c>
      <c r="L950" s="47" t="str">
        <f>IF($A950="", "", IFERROR(($E950 * Premissas!$B$4 * ($I950/$B950) + $E949 * Premissas!$B$5 * ($I949/$B949)) * Premissas!$B$7, 0))</f>
        <v/>
      </c>
      <c r="AI950" s="47" t="str">
        <f>IF($A950="", "", IFERROR(($I950 * Premissas!$B$5) + ($E950 * ($I950/$B950) * Premissas!$B$4 * 12), 0))</f>
        <v/>
      </c>
      <c r="AJ950" s="47" t="str">
        <f>IF($A950="", "", $AI950 * Premissas!$B$12)</f>
        <v/>
      </c>
      <c r="AK950" s="47" t="str">
        <f t="shared" si="13"/>
        <v/>
      </c>
      <c r="AL950" s="47"/>
      <c r="AM950" s="47"/>
    </row>
    <row r="951" ht="15.75" customHeight="1">
      <c r="K951" s="47" t="str">
        <f>IF($A951="", "", IFERROR($E951 * ($I951/$B951) * Premissas!$B$6, 0))</f>
        <v/>
      </c>
      <c r="L951" s="47" t="str">
        <f>IF($A951="", "", IFERROR(($E951 * Premissas!$B$4 * ($I951/$B951) + $E950 * Premissas!$B$5 * ($I950/$B950)) * Premissas!$B$7, 0))</f>
        <v/>
      </c>
      <c r="AI951" s="47" t="str">
        <f>IF($A951="", "", IFERROR(($I951 * Premissas!$B$5) + ($E951 * ($I951/$B951) * Premissas!$B$4 * 12), 0))</f>
        <v/>
      </c>
      <c r="AJ951" s="47" t="str">
        <f>IF($A951="", "", $AI951 * Premissas!$B$12)</f>
        <v/>
      </c>
      <c r="AK951" s="47" t="str">
        <f t="shared" si="13"/>
        <v/>
      </c>
      <c r="AL951" s="47"/>
      <c r="AM951" s="47"/>
    </row>
    <row r="952" ht="15.75" customHeight="1">
      <c r="K952" s="47" t="str">
        <f>IF($A952="", "", IFERROR($E952 * ($I952/$B952) * Premissas!$B$6, 0))</f>
        <v/>
      </c>
      <c r="L952" s="47" t="str">
        <f>IF($A952="", "", IFERROR(($E952 * Premissas!$B$4 * ($I952/$B952) + $E951 * Premissas!$B$5 * ($I951/$B951)) * Premissas!$B$7, 0))</f>
        <v/>
      </c>
      <c r="AI952" s="47" t="str">
        <f>IF($A952="", "", IFERROR(($I952 * Premissas!$B$5) + ($E952 * ($I952/$B952) * Premissas!$B$4 * 12), 0))</f>
        <v/>
      </c>
      <c r="AJ952" s="47" t="str">
        <f>IF($A952="", "", $AI952 * Premissas!$B$12)</f>
        <v/>
      </c>
      <c r="AK952" s="47" t="str">
        <f t="shared" si="13"/>
        <v/>
      </c>
      <c r="AL952" s="47"/>
      <c r="AM952" s="47"/>
    </row>
    <row r="953" ht="15.75" customHeight="1">
      <c r="K953" s="47" t="str">
        <f>IF($A953="", "", IFERROR($E953 * ($I953/$B953) * Premissas!$B$6, 0))</f>
        <v/>
      </c>
      <c r="L953" s="47" t="str">
        <f>IF($A953="", "", IFERROR(($E953 * Premissas!$B$4 * ($I953/$B953) + $E952 * Premissas!$B$5 * ($I952/$B952)) * Premissas!$B$7, 0))</f>
        <v/>
      </c>
      <c r="AI953" s="47" t="str">
        <f>IF($A953="", "", IFERROR(($I953 * Premissas!$B$5) + ($E953 * ($I953/$B953) * Premissas!$B$4 * 12), 0))</f>
        <v/>
      </c>
      <c r="AJ953" s="47" t="str">
        <f>IF($A953="", "", $AI953 * Premissas!$B$12)</f>
        <v/>
      </c>
      <c r="AK953" s="47" t="str">
        <f t="shared" si="13"/>
        <v/>
      </c>
      <c r="AL953" s="47"/>
      <c r="AM953" s="47"/>
    </row>
    <row r="954" ht="15.75" customHeight="1">
      <c r="K954" s="47" t="str">
        <f>IF($A954="", "", IFERROR($E954 * ($I954/$B954) * Premissas!$B$6, 0))</f>
        <v/>
      </c>
      <c r="L954" s="47" t="str">
        <f>IF($A954="", "", IFERROR(($E954 * Premissas!$B$4 * ($I954/$B954) + $E953 * Premissas!$B$5 * ($I953/$B953)) * Premissas!$B$7, 0))</f>
        <v/>
      </c>
      <c r="AI954" s="47" t="str">
        <f>IF($A954="", "", IFERROR(($I954 * Premissas!$B$5) + ($E954 * ($I954/$B954) * Premissas!$B$4 * 12), 0))</f>
        <v/>
      </c>
      <c r="AJ954" s="47" t="str">
        <f>IF($A954="", "", $AI954 * Premissas!$B$12)</f>
        <v/>
      </c>
      <c r="AK954" s="47" t="str">
        <f t="shared" si="13"/>
        <v/>
      </c>
      <c r="AL954" s="47"/>
      <c r="AM954" s="47"/>
    </row>
    <row r="955" ht="15.75" customHeight="1">
      <c r="K955" s="47" t="str">
        <f>IF($A955="", "", IFERROR($E955 * ($I955/$B955) * Premissas!$B$6, 0))</f>
        <v/>
      </c>
      <c r="L955" s="47" t="str">
        <f>IF($A955="", "", IFERROR(($E955 * Premissas!$B$4 * ($I955/$B955) + $E954 * Premissas!$B$5 * ($I954/$B954)) * Premissas!$B$7, 0))</f>
        <v/>
      </c>
      <c r="AI955" s="47" t="str">
        <f>IF($A955="", "", IFERROR(($I955 * Premissas!$B$5) + ($E955 * ($I955/$B955) * Premissas!$B$4 * 12), 0))</f>
        <v/>
      </c>
      <c r="AJ955" s="47" t="str">
        <f>IF($A955="", "", $AI955 * Premissas!$B$12)</f>
        <v/>
      </c>
      <c r="AK955" s="47" t="str">
        <f t="shared" si="13"/>
        <v/>
      </c>
      <c r="AL955" s="47"/>
      <c r="AM955" s="47"/>
    </row>
    <row r="956" ht="15.75" customHeight="1">
      <c r="K956" s="47" t="str">
        <f>IF($A956="", "", IFERROR($E956 * ($I956/$B956) * Premissas!$B$6, 0))</f>
        <v/>
      </c>
      <c r="L956" s="47" t="str">
        <f>IF($A956="", "", IFERROR(($E956 * Premissas!$B$4 * ($I956/$B956) + $E955 * Premissas!$B$5 * ($I955/$B955)) * Premissas!$B$7, 0))</f>
        <v/>
      </c>
      <c r="AI956" s="47" t="str">
        <f>IF($A956="", "", IFERROR(($I956 * Premissas!$B$5) + ($E956 * ($I956/$B956) * Premissas!$B$4 * 12), 0))</f>
        <v/>
      </c>
      <c r="AJ956" s="47" t="str">
        <f>IF($A956="", "", $AI956 * Premissas!$B$12)</f>
        <v/>
      </c>
      <c r="AK956" s="47" t="str">
        <f t="shared" si="13"/>
        <v/>
      </c>
      <c r="AL956" s="47"/>
      <c r="AM956" s="47"/>
    </row>
    <row r="957" ht="15.75" customHeight="1">
      <c r="K957" s="47" t="str">
        <f>IF($A957="", "", IFERROR($E957 * ($I957/$B957) * Premissas!$B$6, 0))</f>
        <v/>
      </c>
      <c r="L957" s="47" t="str">
        <f>IF($A957="", "", IFERROR(($E957 * Premissas!$B$4 * ($I957/$B957) + $E956 * Premissas!$B$5 * ($I956/$B956)) * Premissas!$B$7, 0))</f>
        <v/>
      </c>
      <c r="AI957" s="47" t="str">
        <f>IF($A957="", "", IFERROR(($I957 * Premissas!$B$5) + ($E957 * ($I957/$B957) * Premissas!$B$4 * 12), 0))</f>
        <v/>
      </c>
      <c r="AJ957" s="47" t="str">
        <f>IF($A957="", "", $AI957 * Premissas!$B$12)</f>
        <v/>
      </c>
      <c r="AK957" s="47" t="str">
        <f t="shared" si="13"/>
        <v/>
      </c>
      <c r="AL957" s="47"/>
      <c r="AM957" s="47"/>
    </row>
    <row r="958" ht="15.75" customHeight="1">
      <c r="K958" s="47" t="str">
        <f>IF($A958="", "", IFERROR($E958 * ($I958/$B958) * Premissas!$B$6, 0))</f>
        <v/>
      </c>
      <c r="L958" s="47" t="str">
        <f>IF($A958="", "", IFERROR(($E958 * Premissas!$B$4 * ($I958/$B958) + $E957 * Premissas!$B$5 * ($I957/$B957)) * Premissas!$B$7, 0))</f>
        <v/>
      </c>
      <c r="AI958" s="47" t="str">
        <f>IF($A958="", "", IFERROR(($I958 * Premissas!$B$5) + ($E958 * ($I958/$B958) * Premissas!$B$4 * 12), 0))</f>
        <v/>
      </c>
      <c r="AJ958" s="47" t="str">
        <f>IF($A958="", "", $AI958 * Premissas!$B$12)</f>
        <v/>
      </c>
      <c r="AK958" s="47" t="str">
        <f t="shared" si="13"/>
        <v/>
      </c>
      <c r="AL958" s="47"/>
      <c r="AM958" s="47"/>
    </row>
    <row r="959" ht="15.75" customHeight="1">
      <c r="K959" s="47" t="str">
        <f>IF($A959="", "", IFERROR($E959 * ($I959/$B959) * Premissas!$B$6, 0))</f>
        <v/>
      </c>
      <c r="L959" s="47" t="str">
        <f>IF($A959="", "", IFERROR(($E959 * Premissas!$B$4 * ($I959/$B959) + $E958 * Premissas!$B$5 * ($I958/$B958)) * Premissas!$B$7, 0))</f>
        <v/>
      </c>
      <c r="AI959" s="47" t="str">
        <f>IF($A959="", "", IFERROR(($I959 * Premissas!$B$5) + ($E959 * ($I959/$B959) * Premissas!$B$4 * 12), 0))</f>
        <v/>
      </c>
      <c r="AJ959" s="47" t="str">
        <f>IF($A959="", "", $AI959 * Premissas!$B$12)</f>
        <v/>
      </c>
      <c r="AK959" s="47" t="str">
        <f t="shared" si="13"/>
        <v/>
      </c>
      <c r="AL959" s="47"/>
      <c r="AM959" s="47"/>
    </row>
    <row r="960" ht="15.75" customHeight="1">
      <c r="K960" s="47" t="str">
        <f>IF($A960="", "", IFERROR($E960 * ($I960/$B960) * Premissas!$B$6, 0))</f>
        <v/>
      </c>
      <c r="L960" s="47" t="str">
        <f>IF($A960="", "", IFERROR(($E960 * Premissas!$B$4 * ($I960/$B960) + $E959 * Premissas!$B$5 * ($I959/$B959)) * Premissas!$B$7, 0))</f>
        <v/>
      </c>
      <c r="AI960" s="47" t="str">
        <f>IF($A960="", "", IFERROR(($I960 * Premissas!$B$5) + ($E960 * ($I960/$B960) * Premissas!$B$4 * 12), 0))</f>
        <v/>
      </c>
      <c r="AJ960" s="47" t="str">
        <f>IF($A960="", "", $AI960 * Premissas!$B$12)</f>
        <v/>
      </c>
      <c r="AK960" s="47" t="str">
        <f t="shared" si="13"/>
        <v/>
      </c>
      <c r="AL960" s="47"/>
      <c r="AM960" s="47"/>
    </row>
    <row r="961" ht="15.75" customHeight="1">
      <c r="K961" s="47" t="str">
        <f>IF($A961="", "", IFERROR($E961 * ($I961/$B961) * Premissas!$B$6, 0))</f>
        <v/>
      </c>
      <c r="L961" s="47" t="str">
        <f>IF($A961="", "", IFERROR(($E961 * Premissas!$B$4 * ($I961/$B961) + $E960 * Premissas!$B$5 * ($I960/$B960)) * Premissas!$B$7, 0))</f>
        <v/>
      </c>
      <c r="AI961" s="47" t="str">
        <f>IF($A961="", "", IFERROR(($I961 * Premissas!$B$5) + ($E961 * ($I961/$B961) * Premissas!$B$4 * 12), 0))</f>
        <v/>
      </c>
      <c r="AJ961" s="47" t="str">
        <f>IF($A961="", "", $AI961 * Premissas!$B$12)</f>
        <v/>
      </c>
      <c r="AK961" s="47" t="str">
        <f t="shared" si="13"/>
        <v/>
      </c>
      <c r="AL961" s="47"/>
      <c r="AM961" s="47"/>
    </row>
    <row r="962" ht="15.75" customHeight="1">
      <c r="K962" s="47" t="str">
        <f>IF($A962="", "", IFERROR($E962 * ($I962/$B962) * Premissas!$B$6, 0))</f>
        <v/>
      </c>
      <c r="L962" s="47" t="str">
        <f>IF($A962="", "", IFERROR(($E962 * Premissas!$B$4 * ($I962/$B962) + $E961 * Premissas!$B$5 * ($I961/$B961)) * Premissas!$B$7, 0))</f>
        <v/>
      </c>
      <c r="AI962" s="47" t="str">
        <f>IF($A962="", "", IFERROR(($I962 * Premissas!$B$5) + ($E962 * ($I962/$B962) * Premissas!$B$4 * 12), 0))</f>
        <v/>
      </c>
      <c r="AJ962" s="47" t="str">
        <f>IF($A962="", "", $AI962 * Premissas!$B$12)</f>
        <v/>
      </c>
      <c r="AK962" s="47" t="str">
        <f t="shared" si="13"/>
        <v/>
      </c>
      <c r="AL962" s="47"/>
      <c r="AM962" s="47"/>
    </row>
    <row r="963" ht="15.75" customHeight="1">
      <c r="K963" s="47" t="str">
        <f>IF($A963="", "", IFERROR($E963 * ($I963/$B963) * Premissas!$B$6, 0))</f>
        <v/>
      </c>
      <c r="L963" s="47" t="str">
        <f>IF($A963="", "", IFERROR(($E963 * Premissas!$B$4 * ($I963/$B963) + $E962 * Premissas!$B$5 * ($I962/$B962)) * Premissas!$B$7, 0))</f>
        <v/>
      </c>
      <c r="AI963" s="47" t="str">
        <f>IF($A963="", "", IFERROR(($I963 * Premissas!$B$5) + ($E963 * ($I963/$B963) * Premissas!$B$4 * 12), 0))</f>
        <v/>
      </c>
      <c r="AJ963" s="47" t="str">
        <f>IF($A963="", "", $AI963 * Premissas!$B$12)</f>
        <v/>
      </c>
      <c r="AK963" s="47" t="str">
        <f t="shared" si="13"/>
        <v/>
      </c>
      <c r="AL963" s="47"/>
      <c r="AM963" s="47"/>
    </row>
    <row r="964" ht="15.75" customHeight="1">
      <c r="K964" s="47" t="str">
        <f>IF($A964="", "", IFERROR($E964 * ($I964/$B964) * Premissas!$B$6, 0))</f>
        <v/>
      </c>
      <c r="L964" s="47" t="str">
        <f>IF($A964="", "", IFERROR(($E964 * Premissas!$B$4 * ($I964/$B964) + $E963 * Premissas!$B$5 * ($I963/$B963)) * Premissas!$B$7, 0))</f>
        <v/>
      </c>
      <c r="AI964" s="47" t="str">
        <f>IF($A964="", "", IFERROR(($I964 * Premissas!$B$5) + ($E964 * ($I964/$B964) * Premissas!$B$4 * 12), 0))</f>
        <v/>
      </c>
      <c r="AJ964" s="47" t="str">
        <f>IF($A964="", "", $AI964 * Premissas!$B$12)</f>
        <v/>
      </c>
      <c r="AK964" s="47" t="str">
        <f t="shared" si="13"/>
        <v/>
      </c>
      <c r="AL964" s="47"/>
      <c r="AM964" s="47"/>
    </row>
    <row r="965" ht="15.75" customHeight="1">
      <c r="K965" s="47" t="str">
        <f>IF($A965="", "", IFERROR($E965 * ($I965/$B965) * Premissas!$B$6, 0))</f>
        <v/>
      </c>
      <c r="L965" s="47" t="str">
        <f>IF($A965="", "", IFERROR(($E965 * Premissas!$B$4 * ($I965/$B965) + $E964 * Premissas!$B$5 * ($I964/$B964)) * Premissas!$B$7, 0))</f>
        <v/>
      </c>
      <c r="AI965" s="47" t="str">
        <f>IF($A965="", "", IFERROR(($I965 * Premissas!$B$5) + ($E965 * ($I965/$B965) * Premissas!$B$4 * 12), 0))</f>
        <v/>
      </c>
      <c r="AJ965" s="47" t="str">
        <f>IF($A965="", "", $AI965 * Premissas!$B$12)</f>
        <v/>
      </c>
      <c r="AK965" s="47" t="str">
        <f t="shared" si="13"/>
        <v/>
      </c>
      <c r="AL965" s="47"/>
      <c r="AM965" s="47"/>
    </row>
    <row r="966" ht="15.75" customHeight="1">
      <c r="K966" s="47" t="str">
        <f>IF($A966="", "", IFERROR($E966 * ($I966/$B966) * Premissas!$B$6, 0))</f>
        <v/>
      </c>
      <c r="L966" s="47" t="str">
        <f>IF($A966="", "", IFERROR(($E966 * Premissas!$B$4 * ($I966/$B966) + $E965 * Premissas!$B$5 * ($I965/$B965)) * Premissas!$B$7, 0))</f>
        <v/>
      </c>
      <c r="AI966" s="47" t="str">
        <f>IF($A966="", "", IFERROR(($I966 * Premissas!$B$5) + ($E966 * ($I966/$B966) * Premissas!$B$4 * 12), 0))</f>
        <v/>
      </c>
      <c r="AJ966" s="47" t="str">
        <f>IF($A966="", "", $AI966 * Premissas!$B$12)</f>
        <v/>
      </c>
      <c r="AK966" s="47" t="str">
        <f t="shared" si="13"/>
        <v/>
      </c>
      <c r="AL966" s="47"/>
      <c r="AM966" s="47"/>
    </row>
    <row r="967" ht="15.75" customHeight="1">
      <c r="K967" s="47" t="str">
        <f>IF($A967="", "", IFERROR($E967 * ($I967/$B967) * Premissas!$B$6, 0))</f>
        <v/>
      </c>
      <c r="L967" s="47" t="str">
        <f>IF($A967="", "", IFERROR(($E967 * Premissas!$B$4 * ($I967/$B967) + $E966 * Premissas!$B$5 * ($I966/$B966)) * Premissas!$B$7, 0))</f>
        <v/>
      </c>
      <c r="AI967" s="47" t="str">
        <f>IF($A967="", "", IFERROR(($I967 * Premissas!$B$5) + ($E967 * ($I967/$B967) * Premissas!$B$4 * 12), 0))</f>
        <v/>
      </c>
      <c r="AJ967" s="47" t="str">
        <f>IF($A967="", "", $AI967 * Premissas!$B$12)</f>
        <v/>
      </c>
      <c r="AK967" s="47" t="str">
        <f t="shared" si="13"/>
        <v/>
      </c>
      <c r="AL967" s="47"/>
      <c r="AM967" s="47"/>
    </row>
    <row r="968" ht="15.75" customHeight="1">
      <c r="K968" s="47" t="str">
        <f>IF($A968="", "", IFERROR($E968 * ($I968/$B968) * Premissas!$B$6, 0))</f>
        <v/>
      </c>
      <c r="L968" s="47" t="str">
        <f>IF($A968="", "", IFERROR(($E968 * Premissas!$B$4 * ($I968/$B968) + $E967 * Premissas!$B$5 * ($I967/$B967)) * Premissas!$B$7, 0))</f>
        <v/>
      </c>
      <c r="AI968" s="47" t="str">
        <f>IF($A968="", "", IFERROR(($I968 * Premissas!$B$5) + ($E968 * ($I968/$B968) * Premissas!$B$4 * 12), 0))</f>
        <v/>
      </c>
      <c r="AJ968" s="47" t="str">
        <f>IF($A968="", "", $AI968 * Premissas!$B$12)</f>
        <v/>
      </c>
      <c r="AK968" s="47" t="str">
        <f t="shared" si="13"/>
        <v/>
      </c>
      <c r="AL968" s="47"/>
      <c r="AM968" s="47"/>
    </row>
    <row r="969" ht="15.75" customHeight="1">
      <c r="K969" s="47" t="str">
        <f>IF($A969="", "", IFERROR($E969 * ($I969/$B969) * Premissas!$B$6, 0))</f>
        <v/>
      </c>
      <c r="L969" s="47" t="str">
        <f>IF($A969="", "", IFERROR(($E969 * Premissas!$B$4 * ($I969/$B969) + $E968 * Premissas!$B$5 * ($I968/$B968)) * Premissas!$B$7, 0))</f>
        <v/>
      </c>
      <c r="AI969" s="47" t="str">
        <f>IF($A969="", "", IFERROR(($I969 * Premissas!$B$5) + ($E969 * ($I969/$B969) * Premissas!$B$4 * 12), 0))</f>
        <v/>
      </c>
      <c r="AJ969" s="47" t="str">
        <f>IF($A969="", "", $AI969 * Premissas!$B$12)</f>
        <v/>
      </c>
      <c r="AK969" s="47" t="str">
        <f t="shared" si="13"/>
        <v/>
      </c>
      <c r="AL969" s="47"/>
      <c r="AM969" s="47"/>
    </row>
    <row r="970" ht="15.75" customHeight="1">
      <c r="K970" s="47" t="str">
        <f>IF($A970="", "", IFERROR($E970 * ($I970/$B970) * Premissas!$B$6, 0))</f>
        <v/>
      </c>
      <c r="L970" s="47" t="str">
        <f>IF($A970="", "", IFERROR(($E970 * Premissas!$B$4 * ($I970/$B970) + $E969 * Premissas!$B$5 * ($I969/$B969)) * Premissas!$B$7, 0))</f>
        <v/>
      </c>
      <c r="AI970" s="47" t="str">
        <f>IF($A970="", "", IFERROR(($I970 * Premissas!$B$5) + ($E970 * ($I970/$B970) * Premissas!$B$4 * 12), 0))</f>
        <v/>
      </c>
      <c r="AJ970" s="47" t="str">
        <f>IF($A970="", "", $AI970 * Premissas!$B$12)</f>
        <v/>
      </c>
      <c r="AK970" s="47" t="str">
        <f t="shared" si="13"/>
        <v/>
      </c>
      <c r="AL970" s="47"/>
      <c r="AM970" s="47"/>
    </row>
    <row r="971" ht="15.75" customHeight="1">
      <c r="K971" s="47" t="str">
        <f>IF($A971="", "", IFERROR($E971 * ($I971/$B971) * Premissas!$B$6, 0))</f>
        <v/>
      </c>
      <c r="L971" s="47" t="str">
        <f>IF($A971="", "", IFERROR(($E971 * Premissas!$B$4 * ($I971/$B971) + $E970 * Premissas!$B$5 * ($I970/$B970)) * Premissas!$B$7, 0))</f>
        <v/>
      </c>
      <c r="AI971" s="47" t="str">
        <f>IF($A971="", "", IFERROR(($I971 * Premissas!$B$5) + ($E971 * ($I971/$B971) * Premissas!$B$4 * 12), 0))</f>
        <v/>
      </c>
      <c r="AJ971" s="47" t="str">
        <f>IF($A971="", "", $AI971 * Premissas!$B$12)</f>
        <v/>
      </c>
      <c r="AK971" s="47" t="str">
        <f t="shared" si="13"/>
        <v/>
      </c>
      <c r="AL971" s="47"/>
      <c r="AM971" s="47"/>
    </row>
    <row r="972" ht="15.75" customHeight="1">
      <c r="K972" s="47" t="str">
        <f>IF($A972="", "", IFERROR($E972 * ($I972/$B972) * Premissas!$B$6, 0))</f>
        <v/>
      </c>
      <c r="L972" s="47" t="str">
        <f>IF($A972="", "", IFERROR(($E972 * Premissas!$B$4 * ($I972/$B972) + $E971 * Premissas!$B$5 * ($I971/$B971)) * Premissas!$B$7, 0))</f>
        <v/>
      </c>
      <c r="AI972" s="47" t="str">
        <f>IF($A972="", "", IFERROR(($I972 * Premissas!$B$5) + ($E972 * ($I972/$B972) * Premissas!$B$4 * 12), 0))</f>
        <v/>
      </c>
      <c r="AJ972" s="47" t="str">
        <f>IF($A972="", "", $AI972 * Premissas!$B$12)</f>
        <v/>
      </c>
      <c r="AK972" s="47" t="str">
        <f t="shared" si="13"/>
        <v/>
      </c>
      <c r="AL972" s="47"/>
      <c r="AM972" s="47"/>
    </row>
    <row r="973" ht="15.75" customHeight="1">
      <c r="K973" s="47" t="str">
        <f>IF($A973="", "", IFERROR($E973 * ($I973/$B973) * Premissas!$B$6, 0))</f>
        <v/>
      </c>
      <c r="L973" s="47" t="str">
        <f>IF($A973="", "", IFERROR(($E973 * Premissas!$B$4 * ($I973/$B973) + $E972 * Premissas!$B$5 * ($I972/$B972)) * Premissas!$B$7, 0))</f>
        <v/>
      </c>
      <c r="AI973" s="47" t="str">
        <f>IF($A973="", "", IFERROR(($I973 * Premissas!$B$5) + ($E973 * ($I973/$B973) * Premissas!$B$4 * 12), 0))</f>
        <v/>
      </c>
      <c r="AJ973" s="47" t="str">
        <f>IF($A973="", "", $AI973 * Premissas!$B$12)</f>
        <v/>
      </c>
      <c r="AK973" s="47" t="str">
        <f t="shared" si="13"/>
        <v/>
      </c>
      <c r="AL973" s="47"/>
      <c r="AM973" s="47"/>
    </row>
    <row r="974" ht="15.75" customHeight="1">
      <c r="K974" s="47" t="str">
        <f>IF($A974="", "", IFERROR($E974 * ($I974/$B974) * Premissas!$B$6, 0))</f>
        <v/>
      </c>
      <c r="L974" s="47" t="str">
        <f>IF($A974="", "", IFERROR(($E974 * Premissas!$B$4 * ($I974/$B974) + $E973 * Premissas!$B$5 * ($I973/$B973)) * Premissas!$B$7, 0))</f>
        <v/>
      </c>
      <c r="AI974" s="47" t="str">
        <f>IF($A974="", "", IFERROR(($I974 * Premissas!$B$5) + ($E974 * ($I974/$B974) * Premissas!$B$4 * 12), 0))</f>
        <v/>
      </c>
      <c r="AJ974" s="47" t="str">
        <f>IF($A974="", "", $AI974 * Premissas!$B$12)</f>
        <v/>
      </c>
      <c r="AK974" s="47" t="str">
        <f t="shared" si="13"/>
        <v/>
      </c>
      <c r="AL974" s="47"/>
      <c r="AM974" s="47"/>
    </row>
    <row r="975" ht="15.75" customHeight="1">
      <c r="K975" s="47" t="str">
        <f>IF($A975="", "", IFERROR($E975 * ($I975/$B975) * Premissas!$B$6, 0))</f>
        <v/>
      </c>
      <c r="L975" s="47" t="str">
        <f>IF($A975="", "", IFERROR(($E975 * Premissas!$B$4 * ($I975/$B975) + $E974 * Premissas!$B$5 * ($I974/$B974)) * Premissas!$B$7, 0))</f>
        <v/>
      </c>
      <c r="AI975" s="47" t="str">
        <f>IF($A975="", "", IFERROR(($I975 * Premissas!$B$5) + ($E975 * ($I975/$B975) * Premissas!$B$4 * 12), 0))</f>
        <v/>
      </c>
      <c r="AJ975" s="47" t="str">
        <f>IF($A975="", "", $AI975 * Premissas!$B$12)</f>
        <v/>
      </c>
      <c r="AK975" s="47" t="str">
        <f t="shared" si="13"/>
        <v/>
      </c>
      <c r="AL975" s="47"/>
      <c r="AM975" s="47"/>
    </row>
    <row r="976" ht="15.75" customHeight="1">
      <c r="K976" s="47" t="str">
        <f>IF($A976="", "", IFERROR($E976 * ($I976/$B976) * Premissas!$B$6, 0))</f>
        <v/>
      </c>
      <c r="L976" s="47" t="str">
        <f>IF($A976="", "", IFERROR(($E976 * Premissas!$B$4 * ($I976/$B976) + $E975 * Premissas!$B$5 * ($I975/$B975)) * Premissas!$B$7, 0))</f>
        <v/>
      </c>
      <c r="AI976" s="47" t="str">
        <f>IF($A976="", "", IFERROR(($I976 * Premissas!$B$5) + ($E976 * ($I976/$B976) * Premissas!$B$4 * 12), 0))</f>
        <v/>
      </c>
      <c r="AJ976" s="47" t="str">
        <f>IF($A976="", "", $AI976 * Premissas!$B$12)</f>
        <v/>
      </c>
      <c r="AK976" s="47" t="str">
        <f t="shared" si="13"/>
        <v/>
      </c>
      <c r="AL976" s="47"/>
      <c r="AM976" s="47"/>
    </row>
    <row r="977" ht="15.75" customHeight="1">
      <c r="K977" s="47" t="str">
        <f>IF($A977="", "", IFERROR($E977 * ($I977/$B977) * Premissas!$B$6, 0))</f>
        <v/>
      </c>
      <c r="L977" s="47" t="str">
        <f>IF($A977="", "", IFERROR(($E977 * Premissas!$B$4 * ($I977/$B977) + $E976 * Premissas!$B$5 * ($I976/$B976)) * Premissas!$B$7, 0))</f>
        <v/>
      </c>
      <c r="AI977" s="47" t="str">
        <f>IF($A977="", "", IFERROR(($I977 * Premissas!$B$5) + ($E977 * ($I977/$B977) * Premissas!$B$4 * 12), 0))</f>
        <v/>
      </c>
      <c r="AJ977" s="47" t="str">
        <f>IF($A977="", "", $AI977 * Premissas!$B$12)</f>
        <v/>
      </c>
      <c r="AK977" s="47" t="str">
        <f t="shared" si="13"/>
        <v/>
      </c>
      <c r="AL977" s="47"/>
      <c r="AM977" s="47"/>
    </row>
    <row r="978" ht="15.75" customHeight="1">
      <c r="K978" s="47" t="str">
        <f>IF($A978="", "", IFERROR($E978 * ($I978/$B978) * Premissas!$B$6, 0))</f>
        <v/>
      </c>
      <c r="L978" s="47" t="str">
        <f>IF($A978="", "", IFERROR(($E978 * Premissas!$B$4 * ($I978/$B978) + $E977 * Premissas!$B$5 * ($I977/$B977)) * Premissas!$B$7, 0))</f>
        <v/>
      </c>
      <c r="AI978" s="47" t="str">
        <f>IF($A978="", "", IFERROR(($I978 * Premissas!$B$5) + ($E978 * ($I978/$B978) * Premissas!$B$4 * 12), 0))</f>
        <v/>
      </c>
      <c r="AJ978" s="47" t="str">
        <f>IF($A978="", "", $AI978 * Premissas!$B$12)</f>
        <v/>
      </c>
      <c r="AK978" s="47" t="str">
        <f t="shared" si="13"/>
        <v/>
      </c>
      <c r="AL978" s="47"/>
      <c r="AM978" s="47"/>
    </row>
    <row r="979" ht="15.75" customHeight="1">
      <c r="K979" s="47" t="str">
        <f>IF($A979="", "", IFERROR($E979 * ($I979/$B979) * Premissas!$B$6, 0))</f>
        <v/>
      </c>
      <c r="L979" s="47" t="str">
        <f>IF($A979="", "", IFERROR(($E979 * Premissas!$B$4 * ($I979/$B979) + $E978 * Premissas!$B$5 * ($I978/$B978)) * Premissas!$B$7, 0))</f>
        <v/>
      </c>
      <c r="AI979" s="47" t="str">
        <f>IF($A979="", "", IFERROR(($I979 * Premissas!$B$5) + ($E979 * ($I979/$B979) * Premissas!$B$4 * 12), 0))</f>
        <v/>
      </c>
      <c r="AJ979" s="47" t="str">
        <f>IF($A979="", "", $AI979 * Premissas!$B$12)</f>
        <v/>
      </c>
      <c r="AK979" s="47" t="str">
        <f t="shared" si="13"/>
        <v/>
      </c>
      <c r="AL979" s="47"/>
      <c r="AM979" s="47"/>
    </row>
    <row r="980" ht="15.75" customHeight="1">
      <c r="K980" s="47" t="str">
        <f>IF($A980="", "", IFERROR($E980 * ($I980/$B980) * Premissas!$B$6, 0))</f>
        <v/>
      </c>
      <c r="L980" s="47" t="str">
        <f>IF($A980="", "", IFERROR(($E980 * Premissas!$B$4 * ($I980/$B980) + $E979 * Premissas!$B$5 * ($I979/$B979)) * Premissas!$B$7, 0))</f>
        <v/>
      </c>
      <c r="AI980" s="47" t="str">
        <f>IF($A980="", "", IFERROR(($I980 * Premissas!$B$5) + ($E980 * ($I980/$B980) * Premissas!$B$4 * 12), 0))</f>
        <v/>
      </c>
      <c r="AJ980" s="47" t="str">
        <f>IF($A980="", "", $AI980 * Premissas!$B$12)</f>
        <v/>
      </c>
      <c r="AK980" s="47" t="str">
        <f t="shared" si="13"/>
        <v/>
      </c>
      <c r="AL980" s="47"/>
      <c r="AM980" s="47"/>
    </row>
    <row r="981" ht="15.75" customHeight="1">
      <c r="K981" s="47" t="str">
        <f>IF($A981="", "", IFERROR($E981 * ($I981/$B981) * Premissas!$B$6, 0))</f>
        <v/>
      </c>
      <c r="L981" s="47" t="str">
        <f>IF($A981="", "", IFERROR(($E981 * Premissas!$B$4 * ($I981/$B981) + $E980 * Premissas!$B$5 * ($I980/$B980)) * Premissas!$B$7, 0))</f>
        <v/>
      </c>
      <c r="AI981" s="47" t="str">
        <f>IF($A981="", "", IFERROR(($I981 * Premissas!$B$5) + ($E981 * ($I981/$B981) * Premissas!$B$4 * 12), 0))</f>
        <v/>
      </c>
      <c r="AJ981" s="47" t="str">
        <f>IF($A981="", "", $AI981 * Premissas!$B$12)</f>
        <v/>
      </c>
      <c r="AK981" s="47" t="str">
        <f t="shared" si="13"/>
        <v/>
      </c>
      <c r="AL981" s="47"/>
      <c r="AM981" s="47"/>
    </row>
    <row r="982" ht="15.75" customHeight="1">
      <c r="K982" s="47" t="str">
        <f>IF($A982="", "", IFERROR($E982 * ($I982/$B982) * Premissas!$B$6, 0))</f>
        <v/>
      </c>
      <c r="L982" s="47" t="str">
        <f>IF($A982="", "", IFERROR(($E982 * Premissas!$B$4 * ($I982/$B982) + $E981 * Premissas!$B$5 * ($I981/$B981)) * Premissas!$B$7, 0))</f>
        <v/>
      </c>
      <c r="AI982" s="47" t="str">
        <f>IF($A982="", "", IFERROR(($I982 * Premissas!$B$5) + ($E982 * ($I982/$B982) * Premissas!$B$4 * 12), 0))</f>
        <v/>
      </c>
      <c r="AJ982" s="47" t="str">
        <f>IF($A982="", "", $AI982 * Premissas!$B$12)</f>
        <v/>
      </c>
      <c r="AK982" s="47" t="str">
        <f t="shared" si="13"/>
        <v/>
      </c>
      <c r="AL982" s="47"/>
      <c r="AM982" s="47"/>
    </row>
    <row r="983" ht="15.75" customHeight="1">
      <c r="K983" s="47" t="str">
        <f>IF($A983="", "", IFERROR($E983 * ($I983/$B983) * Premissas!$B$6, 0))</f>
        <v/>
      </c>
      <c r="L983" s="47" t="str">
        <f>IF($A983="", "", IFERROR(($E983 * Premissas!$B$4 * ($I983/$B983) + $E982 * Premissas!$B$5 * ($I982/$B982)) * Premissas!$B$7, 0))</f>
        <v/>
      </c>
      <c r="AI983" s="47" t="str">
        <f>IF($A983="", "", IFERROR(($I983 * Premissas!$B$5) + ($E983 * ($I983/$B983) * Premissas!$B$4 * 12), 0))</f>
        <v/>
      </c>
      <c r="AJ983" s="47" t="str">
        <f>IF($A983="", "", $AI983 * Premissas!$B$12)</f>
        <v/>
      </c>
      <c r="AK983" s="47" t="str">
        <f t="shared" si="13"/>
        <v/>
      </c>
      <c r="AL983" s="47"/>
      <c r="AM983" s="47"/>
    </row>
    <row r="984" ht="15.75" customHeight="1">
      <c r="K984" s="47" t="str">
        <f>IF($A984="", "", IFERROR($E984 * ($I984/$B984) * Premissas!$B$6, 0))</f>
        <v/>
      </c>
      <c r="L984" s="47" t="str">
        <f>IF($A984="", "", IFERROR(($E984 * Premissas!$B$4 * ($I984/$B984) + $E983 * Premissas!$B$5 * ($I983/$B983)) * Premissas!$B$7, 0))</f>
        <v/>
      </c>
      <c r="AI984" s="47" t="str">
        <f>IF($A984="", "", IFERROR(($I984 * Premissas!$B$5) + ($E984 * ($I984/$B984) * Premissas!$B$4 * 12), 0))</f>
        <v/>
      </c>
      <c r="AJ984" s="47" t="str">
        <f>IF($A984="", "", $AI984 * Premissas!$B$12)</f>
        <v/>
      </c>
      <c r="AK984" s="47" t="str">
        <f t="shared" si="13"/>
        <v/>
      </c>
      <c r="AL984" s="47"/>
      <c r="AM984" s="47"/>
    </row>
    <row r="985" ht="15.75" customHeight="1">
      <c r="K985" s="47" t="str">
        <f>IF($A985="", "", IFERROR($E985 * ($I985/$B985) * Premissas!$B$6, 0))</f>
        <v/>
      </c>
      <c r="L985" s="47" t="str">
        <f>IF($A985="", "", IFERROR(($E985 * Premissas!$B$4 * ($I985/$B985) + $E984 * Premissas!$B$5 * ($I984/$B984)) * Premissas!$B$7, 0))</f>
        <v/>
      </c>
      <c r="AI985" s="47" t="str">
        <f>IF($A985="", "", IFERROR(($I985 * Premissas!$B$5) + ($E985 * ($I985/$B985) * Premissas!$B$4 * 12), 0))</f>
        <v/>
      </c>
      <c r="AJ985" s="47" t="str">
        <f>IF($A985="", "", $AI985 * Premissas!$B$12)</f>
        <v/>
      </c>
      <c r="AK985" s="47" t="str">
        <f t="shared" si="13"/>
        <v/>
      </c>
      <c r="AL985" s="47"/>
      <c r="AM985" s="47"/>
    </row>
    <row r="986" ht="15.75" customHeight="1">
      <c r="K986" s="47" t="str">
        <f>IF($A986="", "", IFERROR($E986 * ($I986/$B986) * Premissas!$B$6, 0))</f>
        <v/>
      </c>
      <c r="L986" s="47" t="str">
        <f>IF($A986="", "", IFERROR(($E986 * Premissas!$B$4 * ($I986/$B986) + $E985 * Premissas!$B$5 * ($I985/$B985)) * Premissas!$B$7, 0))</f>
        <v/>
      </c>
      <c r="AI986" s="47" t="str">
        <f>IF($A986="", "", IFERROR(($I986 * Premissas!$B$5) + ($E986 * ($I986/$B986) * Premissas!$B$4 * 12), 0))</f>
        <v/>
      </c>
      <c r="AJ986" s="47" t="str">
        <f>IF($A986="", "", $AI986 * Premissas!$B$12)</f>
        <v/>
      </c>
      <c r="AK986" s="47" t="str">
        <f t="shared" si="13"/>
        <v/>
      </c>
      <c r="AL986" s="47"/>
      <c r="AM986" s="47"/>
    </row>
    <row r="987" ht="15.75" customHeight="1">
      <c r="K987" s="47" t="str">
        <f>IF($A987="", "", IFERROR($E987 * ($I987/$B987) * Premissas!$B$6, 0))</f>
        <v/>
      </c>
      <c r="L987" s="47" t="str">
        <f>IF($A987="", "", IFERROR(($E987 * Premissas!$B$4 * ($I987/$B987) + $E986 * Premissas!$B$5 * ($I986/$B986)) * Premissas!$B$7, 0))</f>
        <v/>
      </c>
      <c r="AI987" s="47" t="str">
        <f>IF($A987="", "", IFERROR(($I987 * Premissas!$B$5) + ($E987 * ($I987/$B987) * Premissas!$B$4 * 12), 0))</f>
        <v/>
      </c>
      <c r="AJ987" s="47" t="str">
        <f>IF($A987="", "", $AI987 * Premissas!$B$12)</f>
        <v/>
      </c>
      <c r="AK987" s="47" t="str">
        <f t="shared" si="13"/>
        <v/>
      </c>
      <c r="AL987" s="47"/>
      <c r="AM987" s="47"/>
    </row>
    <row r="988" ht="15.75" customHeight="1">
      <c r="K988" s="47" t="str">
        <f>IF($A988="", "", IFERROR($E988 * ($I988/$B988) * Premissas!$B$6, 0))</f>
        <v/>
      </c>
      <c r="L988" s="47" t="str">
        <f>IF($A988="", "", IFERROR(($E988 * Premissas!$B$4 * ($I988/$B988) + $E987 * Premissas!$B$5 * ($I987/$B987)) * Premissas!$B$7, 0))</f>
        <v/>
      </c>
      <c r="AI988" s="47" t="str">
        <f>IF($A988="", "", IFERROR(($I988 * Premissas!$B$5) + ($E988 * ($I988/$B988) * Premissas!$B$4 * 12), 0))</f>
        <v/>
      </c>
      <c r="AJ988" s="47" t="str">
        <f>IF($A988="", "", $AI988 * Premissas!$B$12)</f>
        <v/>
      </c>
      <c r="AK988" s="47" t="str">
        <f t="shared" si="13"/>
        <v/>
      </c>
      <c r="AL988" s="47"/>
      <c r="AM988" s="47"/>
    </row>
    <row r="989" ht="15.75" customHeight="1">
      <c r="K989" s="47" t="str">
        <f>IF($A989="", "", IFERROR($E989 * ($I989/$B989) * Premissas!$B$6, 0))</f>
        <v/>
      </c>
      <c r="L989" s="47" t="str">
        <f>IF($A989="", "", IFERROR(($E989 * Premissas!$B$4 * ($I989/$B989) + $E988 * Premissas!$B$5 * ($I988/$B988)) * Premissas!$B$7, 0))</f>
        <v/>
      </c>
      <c r="AI989" s="47" t="str">
        <f>IF($A989="", "", IFERROR(($I989 * Premissas!$B$5) + ($E989 * ($I989/$B989) * Premissas!$B$4 * 12), 0))</f>
        <v/>
      </c>
      <c r="AJ989" s="47" t="str">
        <f>IF($A989="", "", $AI989 * Premissas!$B$12)</f>
        <v/>
      </c>
      <c r="AK989" s="47" t="str">
        <f t="shared" si="13"/>
        <v/>
      </c>
      <c r="AL989" s="47"/>
      <c r="AM989" s="47"/>
    </row>
    <row r="990" ht="15.75" customHeight="1">
      <c r="K990" s="47" t="str">
        <f>IF($A990="", "", IFERROR($E990 * ($I990/$B990) * Premissas!$B$6, 0))</f>
        <v/>
      </c>
      <c r="L990" s="47" t="str">
        <f>IF($A990="", "", IFERROR(($E990 * Premissas!$B$4 * ($I990/$B990) + $E989 * Premissas!$B$5 * ($I989/$B989)) * Premissas!$B$7, 0))</f>
        <v/>
      </c>
      <c r="AI990" s="47" t="str">
        <f>IF($A990="", "", IFERROR(($I990 * Premissas!$B$5) + ($E990 * ($I990/$B990) * Premissas!$B$4 * 12), 0))</f>
        <v/>
      </c>
      <c r="AJ990" s="47" t="str">
        <f>IF($A990="", "", $AI990 * Premissas!$B$12)</f>
        <v/>
      </c>
      <c r="AK990" s="47" t="str">
        <f t="shared" si="13"/>
        <v/>
      </c>
      <c r="AL990" s="47"/>
      <c r="AM990" s="47"/>
    </row>
    <row r="991" ht="15.75" customHeight="1">
      <c r="K991" s="47" t="str">
        <f>IF($A991="", "", IFERROR($E991 * ($I991/$B991) * Premissas!$B$6, 0))</f>
        <v/>
      </c>
      <c r="L991" s="47" t="str">
        <f>IF($A991="", "", IFERROR(($E991 * Premissas!$B$4 * ($I991/$B991) + $E990 * Premissas!$B$5 * ($I990/$B990)) * Premissas!$B$7, 0))</f>
        <v/>
      </c>
      <c r="AI991" s="47" t="str">
        <f>IF($A991="", "", IFERROR(($I991 * Premissas!$B$5) + ($E991 * ($I991/$B991) * Premissas!$B$4 * 12), 0))</f>
        <v/>
      </c>
      <c r="AJ991" s="47" t="str">
        <f>IF($A991="", "", $AI991 * Premissas!$B$12)</f>
        <v/>
      </c>
      <c r="AK991" s="47" t="str">
        <f t="shared" si="13"/>
        <v/>
      </c>
      <c r="AL991" s="47"/>
      <c r="AM991" s="47"/>
    </row>
    <row r="992" ht="15.75" customHeight="1">
      <c r="K992" s="47" t="str">
        <f>IF($A992="", "", IFERROR($E992 * ($I992/$B992) * Premissas!$B$6, 0))</f>
        <v/>
      </c>
      <c r="L992" s="47" t="str">
        <f>IF($A992="", "", IFERROR(($E992 * Premissas!$B$4 * ($I992/$B992) + $E991 * Premissas!$B$5 * ($I991/$B991)) * Premissas!$B$7, 0))</f>
        <v/>
      </c>
      <c r="AI992" s="47" t="str">
        <f>IF($A992="", "", IFERROR(($I992 * Premissas!$B$5) + ($E992 * ($I992/$B992) * Premissas!$B$4 * 12), 0))</f>
        <v/>
      </c>
      <c r="AJ992" s="47" t="str">
        <f>IF($A992="", "", $AI992 * Premissas!$B$12)</f>
        <v/>
      </c>
      <c r="AK992" s="47" t="str">
        <f t="shared" si="13"/>
        <v/>
      </c>
      <c r="AL992" s="47"/>
      <c r="AM992" s="47"/>
    </row>
    <row r="993" ht="15.75" customHeight="1">
      <c r="K993" s="47" t="str">
        <f>IF($A993="", "", IFERROR($E993 * ($I993/$B993) * Premissas!$B$6, 0))</f>
        <v/>
      </c>
      <c r="L993" s="47" t="str">
        <f>IF($A993="", "", IFERROR(($E993 * Premissas!$B$4 * ($I993/$B993) + $E992 * Premissas!$B$5 * ($I992/$B992)) * Premissas!$B$7, 0))</f>
        <v/>
      </c>
      <c r="AI993" s="47" t="str">
        <f>IF($A993="", "", IFERROR(($I993 * Premissas!$B$5) + ($E993 * ($I993/$B993) * Premissas!$B$4 * 12), 0))</f>
        <v/>
      </c>
      <c r="AJ993" s="47" t="str">
        <f>IF($A993="", "", $AI993 * Premissas!$B$12)</f>
        <v/>
      </c>
      <c r="AK993" s="47" t="str">
        <f t="shared" si="13"/>
        <v/>
      </c>
      <c r="AL993" s="47"/>
      <c r="AM993" s="47"/>
    </row>
    <row r="994" ht="15.75" customHeight="1">
      <c r="K994" s="47" t="str">
        <f>IF($A994="", "", IFERROR($E994 * ($I994/$B994) * Premissas!$B$6, 0))</f>
        <v/>
      </c>
      <c r="L994" s="47" t="str">
        <f>IF($A994="", "", IFERROR(($E994 * Premissas!$B$4 * ($I994/$B994) + $E993 * Premissas!$B$5 * ($I993/$B993)) * Premissas!$B$7, 0))</f>
        <v/>
      </c>
      <c r="AI994" s="47" t="str">
        <f>IF($A994="", "", IFERROR(($I994 * Premissas!$B$5) + ($E994 * ($I994/$B994) * Premissas!$B$4 * 12), 0))</f>
        <v/>
      </c>
      <c r="AJ994" s="47" t="str">
        <f>IF($A994="", "", $AI994 * Premissas!$B$12)</f>
        <v/>
      </c>
      <c r="AK994" s="47" t="str">
        <f t="shared" si="13"/>
        <v/>
      </c>
      <c r="AL994" s="47"/>
      <c r="AM994" s="47"/>
    </row>
    <row r="995" ht="15.75" customHeight="1">
      <c r="K995" s="47" t="str">
        <f>IF($A995="", "", IFERROR($E995 * ($I995/$B995) * Premissas!$B$6, 0))</f>
        <v/>
      </c>
      <c r="L995" s="47" t="str">
        <f>IF($A995="", "", IFERROR(($E995 * Premissas!$B$4 * ($I995/$B995) + $E994 * Premissas!$B$5 * ($I994/$B994)) * Premissas!$B$7, 0))</f>
        <v/>
      </c>
      <c r="AI995" s="47" t="str">
        <f>IF($A995="", "", IFERROR(($I995 * Premissas!$B$5) + ($E995 * ($I995/$B995) * Premissas!$B$4 * 12), 0))</f>
        <v/>
      </c>
      <c r="AJ995" s="47" t="str">
        <f>IF($A995="", "", $AI995 * Premissas!$B$12)</f>
        <v/>
      </c>
      <c r="AK995" s="47" t="str">
        <f t="shared" si="13"/>
        <v/>
      </c>
      <c r="AL995" s="47"/>
      <c r="AM995" s="47"/>
    </row>
    <row r="996" ht="15.75" customHeight="1">
      <c r="K996" s="47" t="str">
        <f>IF($A996="", "", IFERROR($E996 * ($I996/$B996) * Premissas!$B$6, 0))</f>
        <v/>
      </c>
      <c r="L996" s="47" t="str">
        <f>IF($A996="", "", IFERROR(($E996 * Premissas!$B$4 * ($I996/$B996) + $E995 * Premissas!$B$5 * ($I995/$B995)) * Premissas!$B$7, 0))</f>
        <v/>
      </c>
      <c r="AI996" s="47" t="str">
        <f>IF($A996="", "", IFERROR(($I996 * Premissas!$B$5) + ($E996 * ($I996/$B996) * Premissas!$B$4 * 12), 0))</f>
        <v/>
      </c>
      <c r="AJ996" s="47" t="str">
        <f>IF($A996="", "", $AI996 * Premissas!$B$12)</f>
        <v/>
      </c>
      <c r="AK996" s="47" t="str">
        <f t="shared" si="13"/>
        <v/>
      </c>
      <c r="AL996" s="47"/>
      <c r="AM996" s="47"/>
    </row>
    <row r="997" ht="15.75" customHeight="1">
      <c r="K997" s="47" t="str">
        <f>IF($A997="", "", IFERROR($E997 * ($I997/$B997) * Premissas!$B$6, 0))</f>
        <v/>
      </c>
      <c r="L997" s="47" t="str">
        <f>IF($A997="", "", IFERROR(($E997 * Premissas!$B$4 * ($I997/$B997) + $E996 * Premissas!$B$5 * ($I996/$B996)) * Premissas!$B$7, 0))</f>
        <v/>
      </c>
      <c r="AI997" s="47" t="str">
        <f>IF($A997="", "", IFERROR(($I997 * Premissas!$B$5) + ($E997 * ($I997/$B997) * Premissas!$B$4 * 12), 0))</f>
        <v/>
      </c>
      <c r="AJ997" s="47" t="str">
        <f>IF($A997="", "", $AI997 * Premissas!$B$12)</f>
        <v/>
      </c>
      <c r="AK997" s="47" t="str">
        <f t="shared" si="13"/>
        <v/>
      </c>
      <c r="AL997" s="47"/>
      <c r="AM997" s="47"/>
    </row>
    <row r="998" ht="15.75" customHeight="1">
      <c r="K998" s="47" t="str">
        <f>IF($A998="", "", IFERROR($E998 * ($I998/$B998) * Premissas!$B$6, 0))</f>
        <v/>
      </c>
      <c r="L998" s="47" t="str">
        <f>IF($A998="", "", IFERROR(($E998 * Premissas!$B$4 * ($I998/$B998) + $E997 * Premissas!$B$5 * ($I997/$B997)) * Premissas!$B$7, 0))</f>
        <v/>
      </c>
      <c r="AI998" s="47" t="str">
        <f>IF($A998="", "", IFERROR(($I998 * Premissas!$B$5) + ($E998 * ($I998/$B998) * Premissas!$B$4 * 12), 0))</f>
        <v/>
      </c>
      <c r="AJ998" s="47" t="str">
        <f>IF($A998="", "", $AI998 * Premissas!$B$12)</f>
        <v/>
      </c>
      <c r="AK998" s="47" t="str">
        <f t="shared" si="13"/>
        <v/>
      </c>
      <c r="AL998" s="47"/>
      <c r="AM998" s="47"/>
    </row>
    <row r="999" ht="15.75" customHeight="1">
      <c r="K999" s="47" t="str">
        <f>IF($A999="", "", IFERROR($E999 * ($I999/$B999) * Premissas!$B$6, 0))</f>
        <v/>
      </c>
      <c r="L999" s="47" t="str">
        <f>IF($A999="", "", IFERROR(($E999 * Premissas!$B$4 * ($I999/$B999) + $E998 * Premissas!$B$5 * ($I998/$B998)) * Premissas!$B$7, 0))</f>
        <v/>
      </c>
      <c r="AI999" s="47" t="str">
        <f>IF($A999="", "", IFERROR(($I999 * Premissas!$B$5) + ($E999 * ($I999/$B999) * Premissas!$B$4 * 12), 0))</f>
        <v/>
      </c>
      <c r="AJ999" s="47" t="str">
        <f>IF($A999="", "", $AI999 * Premissas!$B$12)</f>
        <v/>
      </c>
      <c r="AK999" s="47" t="str">
        <f t="shared" si="13"/>
        <v/>
      </c>
      <c r="AL999" s="47"/>
      <c r="AM999" s="47"/>
    </row>
    <row r="1000" ht="15.75" customHeight="1">
      <c r="K1000" s="47" t="str">
        <f>IF($A1000="", "", IFERROR($E1000 * ($I1000/$B1000) * Premissas!$B$6, 0))</f>
        <v/>
      </c>
      <c r="L1000" s="47" t="str">
        <f>IF($A1000="", "", IFERROR(($E1000 * Premissas!$B$4 * ($I1000/$B1000) + $E999 * Premissas!$B$5 * ($I999/$B999)) * Premissas!$B$7, 0))</f>
        <v/>
      </c>
      <c r="AI1000" s="47" t="str">
        <f>IF($A1000="", "", IFERROR(($I1000 * Premissas!$B$5) + ($E1000 * ($I1000/$B1000) * Premissas!$B$4 * 12), 0))</f>
        <v/>
      </c>
      <c r="AJ1000" s="47" t="str">
        <f>IF($A1000="", "", $AI1000 * Premissas!$B$12)</f>
        <v/>
      </c>
      <c r="AK1000" s="47" t="str">
        <f t="shared" si="13"/>
        <v/>
      </c>
      <c r="AL1000" s="47"/>
      <c r="AM1000" s="4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26.0"/>
    <col customWidth="1" min="4" max="4" width="15.0"/>
    <col customWidth="1" min="5" max="5" width="22.86"/>
    <col customWidth="1" min="6" max="23" width="8.71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4" t="s">
        <v>9</v>
      </c>
    </row>
    <row r="2">
      <c r="A2" s="5" t="s">
        <v>14</v>
      </c>
      <c r="B2" s="6">
        <v>0.0</v>
      </c>
      <c r="C2" s="6">
        <v>0.0</v>
      </c>
      <c r="D2" s="6">
        <v>0.0</v>
      </c>
      <c r="E2" s="9">
        <v>0.0</v>
      </c>
    </row>
    <row r="3">
      <c r="A3" s="10" t="s">
        <v>28</v>
      </c>
      <c r="B3" s="6">
        <v>120.0</v>
      </c>
      <c r="C3" s="6">
        <v>96.0</v>
      </c>
      <c r="D3" s="6">
        <v>1152.0</v>
      </c>
      <c r="E3" s="9">
        <v>0.1</v>
      </c>
    </row>
    <row r="4">
      <c r="A4" s="5" t="s">
        <v>36</v>
      </c>
      <c r="B4" s="6">
        <v>220.0</v>
      </c>
      <c r="C4" s="6">
        <v>176.0</v>
      </c>
      <c r="D4" s="6">
        <v>2112.0</v>
      </c>
      <c r="E4" s="9">
        <v>0.25</v>
      </c>
    </row>
    <row r="5">
      <c r="A5" s="10" t="s">
        <v>41</v>
      </c>
      <c r="B5" s="6">
        <v>350.0</v>
      </c>
      <c r="C5" s="6">
        <v>280.0</v>
      </c>
      <c r="D5" s="6">
        <v>3360.0</v>
      </c>
      <c r="E5" s="9">
        <v>0.5</v>
      </c>
    </row>
    <row r="6">
      <c r="A6" s="5" t="s">
        <v>45</v>
      </c>
      <c r="B6" s="6">
        <v>600.0</v>
      </c>
      <c r="C6" s="6">
        <v>480.0</v>
      </c>
      <c r="D6" s="6">
        <v>5760.0</v>
      </c>
      <c r="E6" s="9">
        <v>0.15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26.0"/>
    <col customWidth="1" min="4" max="4" width="15.0"/>
    <col customWidth="1" min="5" max="5" width="22.86"/>
    <col customWidth="1" min="6" max="6" width="35.0"/>
    <col customWidth="1" min="7" max="7" width="22.57"/>
    <col customWidth="1" min="8" max="26" width="8.71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4" t="s">
        <v>9</v>
      </c>
      <c r="F1" s="4" t="s">
        <v>67</v>
      </c>
      <c r="G1" s="4" t="s">
        <v>68</v>
      </c>
    </row>
    <row r="2">
      <c r="A2" s="10" t="s">
        <v>69</v>
      </c>
      <c r="B2" s="6">
        <v>200.0</v>
      </c>
      <c r="C2" s="14">
        <v>160.0</v>
      </c>
      <c r="D2" s="6">
        <v>1920.0</v>
      </c>
      <c r="E2" s="9">
        <v>0.3</v>
      </c>
      <c r="F2" s="10" t="s">
        <v>70</v>
      </c>
      <c r="G2" s="15">
        <v>46327.0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1.86"/>
    <col customWidth="1" min="3" max="4" width="26.0"/>
    <col customWidth="1" min="5" max="5" width="28.0"/>
    <col customWidth="1" min="6" max="6" width="22.86"/>
    <col customWidth="1" min="7" max="7" width="35.0"/>
    <col customWidth="1" min="8" max="8" width="22.57"/>
    <col customWidth="1" min="9" max="27" width="8.71"/>
  </cols>
  <sheetData>
    <row r="1">
      <c r="A1" s="4" t="s">
        <v>71</v>
      </c>
      <c r="B1" s="4" t="s">
        <v>72</v>
      </c>
      <c r="C1" s="4" t="s">
        <v>6</v>
      </c>
      <c r="D1" s="4" t="s">
        <v>9</v>
      </c>
      <c r="E1" s="4" t="s">
        <v>67</v>
      </c>
      <c r="F1" s="4" t="s">
        <v>68</v>
      </c>
    </row>
    <row r="2">
      <c r="A2" s="10" t="s">
        <v>73</v>
      </c>
      <c r="B2" s="16">
        <v>1.0</v>
      </c>
      <c r="C2" s="17">
        <v>29.99</v>
      </c>
      <c r="D2" s="9">
        <v>0.07</v>
      </c>
      <c r="E2" s="10" t="s">
        <v>70</v>
      </c>
      <c r="F2" s="15">
        <v>46266.0</v>
      </c>
    </row>
    <row r="3">
      <c r="A3" s="10" t="s">
        <v>74</v>
      </c>
      <c r="B3" s="16">
        <v>100.0</v>
      </c>
      <c r="C3" s="17">
        <v>19.99</v>
      </c>
      <c r="D3" s="9">
        <v>0.08</v>
      </c>
      <c r="E3" s="10" t="s">
        <v>70</v>
      </c>
      <c r="F3" s="15">
        <v>46266.0</v>
      </c>
    </row>
    <row r="4">
      <c r="A4" s="10" t="s">
        <v>75</v>
      </c>
      <c r="B4" s="16">
        <v>1.0</v>
      </c>
      <c r="C4" s="17">
        <v>5.0</v>
      </c>
      <c r="D4" s="9">
        <v>0.15</v>
      </c>
      <c r="E4" s="10" t="s">
        <v>70</v>
      </c>
      <c r="F4" s="15">
        <v>46296.0</v>
      </c>
    </row>
    <row r="5">
      <c r="A5" s="10" t="s">
        <v>76</v>
      </c>
      <c r="B5" s="10">
        <v>10.0</v>
      </c>
      <c r="C5" s="17">
        <v>50.0</v>
      </c>
      <c r="D5" s="9">
        <v>0.1</v>
      </c>
      <c r="E5" s="10" t="s">
        <v>70</v>
      </c>
      <c r="F5" s="15">
        <v>46296.0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3" width="32.0"/>
    <col customWidth="1" min="4" max="4" width="16.0"/>
    <col customWidth="1" min="5" max="26" width="8.71"/>
  </cols>
  <sheetData>
    <row r="1">
      <c r="A1" s="2" t="s">
        <v>77</v>
      </c>
      <c r="B1" s="2" t="s">
        <v>78</v>
      </c>
      <c r="C1" s="2" t="s">
        <v>79</v>
      </c>
      <c r="D1" s="2" t="s">
        <v>80</v>
      </c>
    </row>
    <row r="2">
      <c r="A2" s="5" t="s">
        <v>81</v>
      </c>
      <c r="B2" s="5" t="s">
        <v>82</v>
      </c>
      <c r="C2" s="19">
        <v>0.5</v>
      </c>
      <c r="D2" s="20">
        <v>0.0</v>
      </c>
    </row>
    <row r="3">
      <c r="A3" s="5" t="s">
        <v>83</v>
      </c>
      <c r="B3" s="5" t="s">
        <v>84</v>
      </c>
      <c r="C3" s="21">
        <v>2000.0</v>
      </c>
      <c r="D3" s="22">
        <v>65.0</v>
      </c>
    </row>
    <row r="4">
      <c r="A4" s="5" t="s">
        <v>85</v>
      </c>
      <c r="B4" s="5" t="s">
        <v>86</v>
      </c>
      <c r="C4" s="23">
        <v>0.5</v>
      </c>
      <c r="D4" s="20">
        <v>0.0</v>
      </c>
    </row>
    <row r="5">
      <c r="A5" s="5" t="s">
        <v>87</v>
      </c>
      <c r="B5" s="5" t="s">
        <v>84</v>
      </c>
      <c r="C5" s="24">
        <v>3000.0</v>
      </c>
      <c r="D5" s="22">
        <v>85.0</v>
      </c>
    </row>
    <row r="6">
      <c r="A6" s="5" t="s">
        <v>88</v>
      </c>
      <c r="B6" s="5" t="s">
        <v>84</v>
      </c>
      <c r="C6" s="25">
        <v>2500.0</v>
      </c>
      <c r="D6" s="22">
        <v>30.0</v>
      </c>
    </row>
    <row r="7">
      <c r="A7" s="5" t="s">
        <v>89</v>
      </c>
      <c r="B7" s="5" t="s">
        <v>84</v>
      </c>
      <c r="C7" s="26">
        <v>1500.0</v>
      </c>
      <c r="D7" s="22">
        <v>110.0</v>
      </c>
    </row>
    <row r="8">
      <c r="A8" s="5" t="s">
        <v>54</v>
      </c>
      <c r="B8" s="5" t="s">
        <v>90</v>
      </c>
      <c r="C8" s="27">
        <v>1000.0</v>
      </c>
      <c r="D8" s="22">
        <v>110.0</v>
      </c>
    </row>
    <row r="9">
      <c r="A9" s="5" t="s">
        <v>52</v>
      </c>
      <c r="B9" s="5" t="s">
        <v>91</v>
      </c>
      <c r="C9" s="28">
        <v>2610.0</v>
      </c>
      <c r="D9" s="22">
        <v>160.0</v>
      </c>
    </row>
    <row r="10">
      <c r="A10" s="5" t="s">
        <v>53</v>
      </c>
      <c r="B10" s="5" t="s">
        <v>90</v>
      </c>
      <c r="C10" s="29">
        <v>1500.0</v>
      </c>
      <c r="D10" s="22">
        <v>160.0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12.0"/>
    <col customWidth="1" min="4" max="26" width="8.71"/>
  </cols>
  <sheetData>
    <row r="1">
      <c r="A1" s="2" t="s">
        <v>92</v>
      </c>
      <c r="B1" s="2" t="s">
        <v>93</v>
      </c>
      <c r="C1" s="2" t="s">
        <v>4</v>
      </c>
    </row>
    <row r="2">
      <c r="A2" s="5" t="s">
        <v>94</v>
      </c>
      <c r="B2" s="5" t="s">
        <v>95</v>
      </c>
      <c r="C2" s="6">
        <v>100.0</v>
      </c>
    </row>
    <row r="3">
      <c r="A3" s="5" t="s">
        <v>94</v>
      </c>
      <c r="B3" s="5" t="s">
        <v>96</v>
      </c>
      <c r="C3" s="6">
        <v>104.0</v>
      </c>
    </row>
    <row r="4">
      <c r="A4" s="5" t="s">
        <v>94</v>
      </c>
      <c r="B4" s="5" t="s">
        <v>97</v>
      </c>
      <c r="C4" s="6">
        <v>104.0</v>
      </c>
    </row>
    <row r="5">
      <c r="A5" s="5" t="s">
        <v>94</v>
      </c>
      <c r="B5" s="5" t="s">
        <v>98</v>
      </c>
      <c r="C5" s="6">
        <v>4.16</v>
      </c>
    </row>
    <row r="6">
      <c r="A6" s="5" t="s">
        <v>94</v>
      </c>
      <c r="B6" s="5" t="s">
        <v>99</v>
      </c>
      <c r="C6" s="6">
        <v>129.99</v>
      </c>
    </row>
    <row r="7">
      <c r="A7" s="5" t="s">
        <v>94</v>
      </c>
      <c r="B7" s="5" t="s">
        <v>100</v>
      </c>
      <c r="C7" s="6">
        <v>442.15</v>
      </c>
    </row>
    <row r="8">
      <c r="A8" s="5" t="s">
        <v>101</v>
      </c>
      <c r="B8" s="5" t="s">
        <v>95</v>
      </c>
      <c r="C8" s="6">
        <v>130.0</v>
      </c>
    </row>
    <row r="9">
      <c r="A9" s="5" t="s">
        <v>101</v>
      </c>
      <c r="B9" s="5" t="s">
        <v>96</v>
      </c>
      <c r="C9" s="6">
        <v>104.0</v>
      </c>
    </row>
    <row r="10">
      <c r="A10" s="5" t="s">
        <v>101</v>
      </c>
      <c r="B10" s="5" t="s">
        <v>97</v>
      </c>
      <c r="C10" s="6">
        <v>104.0</v>
      </c>
    </row>
    <row r="11">
      <c r="A11" s="5" t="s">
        <v>101</v>
      </c>
      <c r="B11" s="5" t="s">
        <v>98</v>
      </c>
      <c r="C11" s="6">
        <v>4.16</v>
      </c>
    </row>
    <row r="12">
      <c r="A12" s="5" t="s">
        <v>101</v>
      </c>
      <c r="B12" s="5" t="s">
        <v>99</v>
      </c>
      <c r="C12" s="6">
        <v>200.0</v>
      </c>
    </row>
    <row r="13">
      <c r="A13" s="5" t="s">
        <v>101</v>
      </c>
      <c r="B13" s="5" t="s">
        <v>102</v>
      </c>
      <c r="C13" s="6">
        <v>104.0</v>
      </c>
    </row>
    <row r="14">
      <c r="A14" s="5" t="s">
        <v>101</v>
      </c>
      <c r="B14" s="5" t="s">
        <v>103</v>
      </c>
      <c r="C14" s="6">
        <v>104.0</v>
      </c>
    </row>
    <row r="15">
      <c r="A15" s="5" t="s">
        <v>101</v>
      </c>
      <c r="B15" s="5" t="s">
        <v>104</v>
      </c>
      <c r="C15" s="6">
        <v>156.0</v>
      </c>
    </row>
    <row r="16">
      <c r="A16" s="5" t="s">
        <v>101</v>
      </c>
      <c r="B16" s="5" t="s">
        <v>100</v>
      </c>
      <c r="C16" s="6">
        <v>906.16</v>
      </c>
    </row>
    <row r="17">
      <c r="A17" s="5" t="s">
        <v>105</v>
      </c>
      <c r="B17" s="5" t="s">
        <v>106</v>
      </c>
      <c r="C17" s="6">
        <v>1132.7</v>
      </c>
    </row>
    <row r="18">
      <c r="A18" s="5" t="s">
        <v>107</v>
      </c>
      <c r="B18" s="5" t="s">
        <v>106</v>
      </c>
      <c r="C18" s="6">
        <v>1359.24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40.71"/>
    <col customWidth="1" min="4" max="26" width="8.71"/>
  </cols>
  <sheetData>
    <row r="1">
      <c r="A1" s="2" t="s">
        <v>108</v>
      </c>
      <c r="B1" s="2" t="s">
        <v>109</v>
      </c>
      <c r="C1" s="2" t="s">
        <v>110</v>
      </c>
    </row>
    <row r="2">
      <c r="A2" s="5" t="s">
        <v>111</v>
      </c>
      <c r="B2" s="5" t="s">
        <v>112</v>
      </c>
      <c r="C2" s="5" t="s">
        <v>113</v>
      </c>
    </row>
    <row r="3">
      <c r="A3" s="5" t="s">
        <v>114</v>
      </c>
      <c r="B3" s="5" t="s">
        <v>115</v>
      </c>
      <c r="C3" s="5" t="s">
        <v>116</v>
      </c>
    </row>
    <row r="4">
      <c r="A4" s="5" t="s">
        <v>117</v>
      </c>
      <c r="B4" s="5" t="s">
        <v>118</v>
      </c>
      <c r="C4" s="5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26" width="8.71"/>
  </cols>
  <sheetData>
    <row r="1">
      <c r="A1" s="2" t="s">
        <v>120</v>
      </c>
      <c r="B1" s="2" t="s">
        <v>6</v>
      </c>
    </row>
    <row r="2">
      <c r="A2" s="5" t="s">
        <v>121</v>
      </c>
      <c r="B2" s="30">
        <v>0.03</v>
      </c>
    </row>
    <row r="3">
      <c r="A3" s="5" t="s">
        <v>122</v>
      </c>
      <c r="B3" s="31">
        <f>SUMPRODUCT(Planos!B2:B6, Planos!E2:E6)</f>
        <v>332</v>
      </c>
    </row>
    <row r="4">
      <c r="A4" s="5" t="s">
        <v>123</v>
      </c>
      <c r="B4" s="30">
        <v>0.3</v>
      </c>
    </row>
    <row r="5">
      <c r="A5" s="5" t="s">
        <v>124</v>
      </c>
      <c r="B5" s="30">
        <v>0.7</v>
      </c>
    </row>
    <row r="6">
      <c r="A6" s="5" t="s">
        <v>33</v>
      </c>
      <c r="B6" s="30">
        <v>0.5</v>
      </c>
    </row>
    <row r="7">
      <c r="A7" s="5" t="s">
        <v>34</v>
      </c>
      <c r="B7" s="30">
        <v>0.5</v>
      </c>
    </row>
    <row r="8">
      <c r="A8" s="5" t="s">
        <v>125</v>
      </c>
      <c r="B8" s="31">
        <v>0.5</v>
      </c>
    </row>
    <row r="9">
      <c r="A9" s="5" t="s">
        <v>126</v>
      </c>
      <c r="B9" s="30">
        <v>0.02</v>
      </c>
    </row>
    <row r="10">
      <c r="A10" s="5" t="s">
        <v>127</v>
      </c>
      <c r="B10" s="30">
        <v>0.1</v>
      </c>
    </row>
    <row r="11">
      <c r="A11" s="5" t="s">
        <v>128</v>
      </c>
      <c r="B11" s="9">
        <v>0.2</v>
      </c>
    </row>
    <row r="12">
      <c r="A12" s="10" t="s">
        <v>129</v>
      </c>
      <c r="B12" s="30">
        <v>0.08</v>
      </c>
    </row>
    <row r="13">
      <c r="A13" s="10" t="s">
        <v>130</v>
      </c>
      <c r="B13" s="32">
        <v>0.8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14"/>
    <col customWidth="1" min="3" max="3" width="16.71"/>
    <col customWidth="1" min="4" max="4" width="17.14"/>
  </cols>
  <sheetData>
    <row r="1">
      <c r="A1" s="33" t="s">
        <v>131</v>
      </c>
      <c r="B1" s="33" t="s">
        <v>132</v>
      </c>
      <c r="C1" s="33" t="s">
        <v>133</v>
      </c>
      <c r="D1" s="33" t="s">
        <v>134</v>
      </c>
    </row>
    <row r="2">
      <c r="A2" s="10" t="s">
        <v>135</v>
      </c>
      <c r="B2" s="35">
        <v>1.99</v>
      </c>
      <c r="C2" s="36">
        <v>0.0</v>
      </c>
      <c r="D2" s="36">
        <v>0.4</v>
      </c>
    </row>
    <row r="3">
      <c r="A3" s="10" t="s">
        <v>137</v>
      </c>
      <c r="B3" s="35">
        <v>1.99</v>
      </c>
      <c r="C3" s="36">
        <v>0.0</v>
      </c>
      <c r="D3" s="36">
        <v>0.3</v>
      </c>
    </row>
    <row r="4">
      <c r="A4" s="10" t="s">
        <v>138</v>
      </c>
      <c r="B4" s="35">
        <v>0.35</v>
      </c>
      <c r="C4" s="36">
        <v>0.0189</v>
      </c>
      <c r="D4" s="36">
        <v>0.2</v>
      </c>
    </row>
    <row r="5">
      <c r="A5" s="10" t="s">
        <v>139</v>
      </c>
      <c r="B5" s="35">
        <v>0.49</v>
      </c>
      <c r="C5" s="36">
        <v>0.045</v>
      </c>
      <c r="D5" s="36">
        <v>0.1</v>
      </c>
    </row>
    <row r="6">
      <c r="B6" s="37"/>
      <c r="C6" s="38"/>
      <c r="D6" s="38"/>
    </row>
    <row r="7">
      <c r="B7" s="37"/>
      <c r="C7" s="38"/>
      <c r="D7" s="38"/>
    </row>
    <row r="8">
      <c r="B8" s="37"/>
      <c r="C8" s="38"/>
      <c r="D8" s="38"/>
    </row>
    <row r="9">
      <c r="B9" s="37"/>
      <c r="C9" s="38"/>
      <c r="D9" s="38"/>
    </row>
    <row r="10">
      <c r="A10" s="39" t="s">
        <v>140</v>
      </c>
      <c r="B10" s="37"/>
      <c r="C10" s="38"/>
      <c r="D10" s="38"/>
    </row>
    <row r="11">
      <c r="A11" s="40" t="s">
        <v>141</v>
      </c>
      <c r="B11" s="37"/>
      <c r="C11" s="38"/>
      <c r="D11" s="38">
        <f>SUM(D2:D8)</f>
        <v>1</v>
      </c>
    </row>
    <row r="12">
      <c r="A12" s="40" t="s">
        <v>142</v>
      </c>
      <c r="B12" s="37">
        <f>SUMPRODUCT(B2:B8, D2:D8)</f>
        <v>1.512</v>
      </c>
      <c r="C12" s="38"/>
      <c r="D12" s="38"/>
    </row>
    <row r="13">
      <c r="A13" s="40" t="s">
        <v>143</v>
      </c>
      <c r="B13" s="37"/>
      <c r="C13" s="38">
        <f>SUMPRODUCT(C2:C8, D2:D8)</f>
        <v>0.00828</v>
      </c>
      <c r="D13" s="38"/>
    </row>
  </sheetData>
  <drawing r:id="rId1"/>
</worksheet>
</file>